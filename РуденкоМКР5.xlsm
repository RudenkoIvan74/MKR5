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8.xml" ContentType="application/vnd.openxmlformats-officedocument.drawingml.chartshapes+xml"/>
  <Override PartName="/xl/charts/style6.xml" ContentType="application/vnd.ms-office.chartstyle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17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ml.chartshapes+xml"/>
  <Override PartName="/xl/drawings/drawing15.xml" ContentType="application/vnd.openxmlformats-officedocument.drawingml.chartshapes+xml"/>
  <Override PartName="/xl/charts/style2.xml" ContentType="application/vnd.ms-office.chartstyle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charts/colors7.xml" ContentType="application/vnd.ms-office.chartcolorstyle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drawings/drawing11.xml" ContentType="application/vnd.openxmlformats-officedocument.drawingml.chartshapes+xml"/>
  <Override PartName="/xl/ctrlProps/ctrlProp6.xml" ContentType="application/vnd.ms-excel.controlproperties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trlProps/ctrlProp4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charts/style7.xml" ContentType="application/vnd.ms-office.chartsty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ml.chartshapes+xml"/>
  <Override PartName="/xl/charts/style3.xml" ContentType="application/vnd.ms-office.chartstyle+xml"/>
  <Override PartName="/xl/charts/style1.xml" ContentType="application/vnd.ms-office.chartstyle+xml"/>
  <Override PartName="/xl/charts/colors8.xml" ContentType="application/vnd.ms-office.chartcolor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charts/colors6.xml" ContentType="application/vnd.ms-office.chartcolorstyle+xml"/>
  <Override PartName="/xl/drawings/drawing12.xml" ContentType="application/vnd.openxmlformats-officedocument.drawing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trlProps/ctrlProp5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B7FE6334-C1A2-E50D-BD3D-5F4D41BBC2E3}"/>
  <workbookPr codeName="ЭтаКнига"/>
  <bookViews>
    <workbookView xWindow="-120" yWindow="-120" windowWidth="29040" windowHeight="15840"/>
  </bookViews>
  <sheets>
    <sheet name="pconst135" sheetId="1" r:id="rId1"/>
    <sheet name="pvar135" sheetId="2" r:id="rId2"/>
    <sheet name="pconst105" sheetId="3" r:id="rId3"/>
    <sheet name="pvar105" sheetId="4" r:id="rId4"/>
    <sheet name="M1,5const" sheetId="5" r:id="rId5"/>
    <sheet name="M1,5var" sheetId="6" r:id="rId6"/>
  </sheets>
  <calcPr calcId="19102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6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K13"/>
  <c r="K17" s="1"/>
  <c r="K18" s="1"/>
  <c r="K19" s="1"/>
  <c r="K21" s="1"/>
  <c r="J13"/>
  <c r="J17" s="1"/>
  <c r="J18" s="1"/>
  <c r="I13"/>
  <c r="I17" s="1"/>
  <c r="I18" s="1"/>
  <c r="H13"/>
  <c r="H17" s="1"/>
  <c r="H18" s="1"/>
  <c r="H19" s="1"/>
  <c r="H21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Q15" i="5"/>
  <c r="P15"/>
  <c r="O15"/>
  <c r="N15"/>
  <c r="M15"/>
  <c r="L15"/>
  <c r="K15"/>
  <c r="J15"/>
  <c r="I15"/>
  <c r="H15"/>
  <c r="G15"/>
  <c r="Q14"/>
  <c r="Q13"/>
  <c r="P13"/>
  <c r="P17" s="1"/>
  <c r="P18" s="1"/>
  <c r="P19" s="1"/>
  <c r="O13"/>
  <c r="O17" s="1"/>
  <c r="O18" s="1"/>
  <c r="O19" s="1"/>
  <c r="N13"/>
  <c r="N17" s="1"/>
  <c r="N18" s="1"/>
  <c r="M13"/>
  <c r="M17" s="1"/>
  <c r="M18" s="1"/>
  <c r="L13"/>
  <c r="L17" s="1"/>
  <c r="L18" s="1"/>
  <c r="L19" s="1"/>
  <c r="K13"/>
  <c r="K17" s="1"/>
  <c r="K18" s="1"/>
  <c r="J13"/>
  <c r="I13"/>
  <c r="H13"/>
  <c r="H17" s="1"/>
  <c r="H18" s="1"/>
  <c r="H19" s="1"/>
  <c r="Q4"/>
  <c r="G4"/>
  <c r="C4"/>
  <c r="H2" s="1"/>
  <c r="I2" s="1"/>
  <c r="J2" s="1"/>
  <c r="K2" s="1"/>
  <c r="L2" s="1"/>
  <c r="M2" s="1"/>
  <c r="N2" s="1"/>
  <c r="O2" s="1"/>
  <c r="P2" s="1"/>
  <c r="Q2" s="1"/>
  <c r="H3"/>
  <c r="I3" s="1"/>
  <c r="H15" i="2"/>
  <c r="I15"/>
  <c r="J15"/>
  <c r="K15"/>
  <c r="L15"/>
  <c r="M15"/>
  <c r="N15"/>
  <c r="O15"/>
  <c r="P15"/>
  <c r="Q15"/>
  <c r="G14"/>
  <c r="Q14" i="4"/>
  <c r="Q13"/>
  <c r="Q17" s="1"/>
  <c r="P13"/>
  <c r="P17" s="1"/>
  <c r="P18" s="1"/>
  <c r="P19" s="1"/>
  <c r="P21" s="1"/>
  <c r="O13"/>
  <c r="O17" s="1"/>
  <c r="O18" s="1"/>
  <c r="O19" s="1"/>
  <c r="O21" s="1"/>
  <c r="N13"/>
  <c r="M13"/>
  <c r="M17" s="1"/>
  <c r="M18" s="1"/>
  <c r="L13"/>
  <c r="L17" s="1"/>
  <c r="L18" s="1"/>
  <c r="K13"/>
  <c r="K17" s="1"/>
  <c r="K18" s="1"/>
  <c r="J13"/>
  <c r="J17" s="1"/>
  <c r="J18" s="1"/>
  <c r="I13"/>
  <c r="I17" s="1"/>
  <c r="I18" s="1"/>
  <c r="H13"/>
  <c r="H17" s="1"/>
  <c r="H18" s="1"/>
  <c r="H19" s="1"/>
  <c r="H21" s="1"/>
  <c r="Q4"/>
  <c r="Q10" s="1"/>
  <c r="G4"/>
  <c r="C4"/>
  <c r="H2" s="1"/>
  <c r="I2" s="1"/>
  <c r="J2" s="1"/>
  <c r="K2" s="1"/>
  <c r="L2" s="1"/>
  <c r="M2" s="1"/>
  <c r="N2" s="1"/>
  <c r="O2" s="1"/>
  <c r="P2" s="1"/>
  <c r="Q2" s="1"/>
  <c r="H3"/>
  <c r="I3" s="1"/>
  <c r="Q14" i="3"/>
  <c r="Q13"/>
  <c r="Q17" s="1"/>
  <c r="Q18" s="1"/>
  <c r="P13"/>
  <c r="P17" s="1"/>
  <c r="P18" s="1"/>
  <c r="O13"/>
  <c r="O17" s="1"/>
  <c r="O18" s="1"/>
  <c r="N13"/>
  <c r="N17" s="1"/>
  <c r="N18" s="1"/>
  <c r="M13"/>
  <c r="M17" s="1"/>
  <c r="M18" s="1"/>
  <c r="L13"/>
  <c r="L17" s="1"/>
  <c r="L18" s="1"/>
  <c r="L19" s="1"/>
  <c r="K13"/>
  <c r="K17" s="1"/>
  <c r="K18" s="1"/>
  <c r="K19" s="1"/>
  <c r="J13"/>
  <c r="J17" s="1"/>
  <c r="J18" s="1"/>
  <c r="J19" s="1"/>
  <c r="I13"/>
  <c r="H13"/>
  <c r="H17" s="1"/>
  <c r="H18" s="1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18" i="2"/>
  <c r="P17"/>
  <c r="P18" s="1"/>
  <c r="M17"/>
  <c r="M18" s="1"/>
  <c r="M19" s="1"/>
  <c r="M21" s="1"/>
  <c r="K17"/>
  <c r="K18" s="1"/>
  <c r="H17"/>
  <c r="Q14"/>
  <c r="Q13"/>
  <c r="Q17" s="1"/>
  <c r="Q18" s="1"/>
  <c r="P13"/>
  <c r="P19" s="1"/>
  <c r="P21" s="1"/>
  <c r="O13"/>
  <c r="O17" s="1"/>
  <c r="O18" s="1"/>
  <c r="O19" s="1"/>
  <c r="O21" s="1"/>
  <c r="N13"/>
  <c r="N17" s="1"/>
  <c r="N18" s="1"/>
  <c r="M13"/>
  <c r="L13"/>
  <c r="K13"/>
  <c r="J13"/>
  <c r="J17" s="1"/>
  <c r="J18" s="1"/>
  <c r="J19" s="1"/>
  <c r="J21" s="1"/>
  <c r="I13"/>
  <c r="I17" s="1"/>
  <c r="I18" s="1"/>
  <c r="H13"/>
  <c r="H19" s="1"/>
  <c r="H21" s="1"/>
  <c r="Q4"/>
  <c r="Q10" s="1"/>
  <c r="G4"/>
  <c r="C4"/>
  <c r="H3"/>
  <c r="H4" s="1"/>
  <c r="H2"/>
  <c r="I2" s="1"/>
  <c r="J2" s="1"/>
  <c r="K2" s="1"/>
  <c r="L2" s="1"/>
  <c r="M2" s="1"/>
  <c r="N2" s="1"/>
  <c r="O2" s="1"/>
  <c r="P2" s="1"/>
  <c r="Q2" s="1"/>
  <c r="Q10" i="5" l="1"/>
  <c r="Q10" i="6"/>
  <c r="Q15"/>
  <c r="H20"/>
  <c r="H22"/>
  <c r="O20"/>
  <c r="O22"/>
  <c r="P20"/>
  <c r="P22"/>
  <c r="I19"/>
  <c r="I21" s="1"/>
  <c r="K22"/>
  <c r="K20"/>
  <c r="H10"/>
  <c r="G13"/>
  <c r="M19"/>
  <c r="M21" s="1"/>
  <c r="L17"/>
  <c r="L18" s="1"/>
  <c r="L19" s="1"/>
  <c r="L21" s="1"/>
  <c r="Q18"/>
  <c r="Q19" s="1"/>
  <c r="Q21" s="1"/>
  <c r="I3"/>
  <c r="N17"/>
  <c r="N18" s="1"/>
  <c r="N19" s="1"/>
  <c r="N21" s="1"/>
  <c r="J19"/>
  <c r="J21" s="1"/>
  <c r="M19" i="5"/>
  <c r="J3"/>
  <c r="I4"/>
  <c r="I10" s="1"/>
  <c r="H4"/>
  <c r="K19"/>
  <c r="I17"/>
  <c r="I18" s="1"/>
  <c r="I19" s="1"/>
  <c r="Q17"/>
  <c r="Q18" s="1"/>
  <c r="Q19" s="1"/>
  <c r="J17"/>
  <c r="J18" s="1"/>
  <c r="J19" s="1"/>
  <c r="N19"/>
  <c r="L19" i="4"/>
  <c r="L21" s="1"/>
  <c r="L22" s="1"/>
  <c r="Q10" i="3"/>
  <c r="Q19"/>
  <c r="I17"/>
  <c r="I18" s="1"/>
  <c r="I19" s="1"/>
  <c r="M19" i="4"/>
  <c r="M21" s="1"/>
  <c r="O20"/>
  <c r="O22"/>
  <c r="Q15"/>
  <c r="Q18"/>
  <c r="Q19" s="1"/>
  <c r="Q21" s="1"/>
  <c r="P20"/>
  <c r="P22"/>
  <c r="I4"/>
  <c r="I10" s="1"/>
  <c r="J3"/>
  <c r="H20"/>
  <c r="H22"/>
  <c r="N17"/>
  <c r="N18" s="1"/>
  <c r="N19" s="1"/>
  <c r="N21" s="1"/>
  <c r="I19"/>
  <c r="I21" s="1"/>
  <c r="H4"/>
  <c r="J19"/>
  <c r="J21" s="1"/>
  <c r="K19"/>
  <c r="K21" s="1"/>
  <c r="H10" i="3"/>
  <c r="G13"/>
  <c r="H19"/>
  <c r="P19"/>
  <c r="I3"/>
  <c r="M19"/>
  <c r="N19"/>
  <c r="O19"/>
  <c r="J22" i="2"/>
  <c r="J20"/>
  <c r="P20"/>
  <c r="P22"/>
  <c r="K19"/>
  <c r="K21" s="1"/>
  <c r="G13"/>
  <c r="G10" s="1"/>
  <c r="H10"/>
  <c r="M20"/>
  <c r="M22"/>
  <c r="H20"/>
  <c r="H22"/>
  <c r="O20"/>
  <c r="O22"/>
  <c r="L17"/>
  <c r="L18" s="1"/>
  <c r="L19" s="1"/>
  <c r="L21" s="1"/>
  <c r="N19"/>
  <c r="N21" s="1"/>
  <c r="I3"/>
  <c r="I19"/>
  <c r="I21" s="1"/>
  <c r="Q19"/>
  <c r="Q21" s="1"/>
  <c r="N20" i="6" l="1"/>
  <c r="N22"/>
  <c r="J20"/>
  <c r="J22"/>
  <c r="I20"/>
  <c r="I22"/>
  <c r="I4"/>
  <c r="I10" s="1"/>
  <c r="J3"/>
  <c r="G17"/>
  <c r="G18" s="1"/>
  <c r="G19" s="1"/>
  <c r="G21" s="1"/>
  <c r="G14"/>
  <c r="Q20"/>
  <c r="Q22"/>
  <c r="Q23" s="1"/>
  <c r="L22"/>
  <c r="L20"/>
  <c r="M20"/>
  <c r="M22"/>
  <c r="G10"/>
  <c r="G13" i="5"/>
  <c r="H10"/>
  <c r="H11" s="1"/>
  <c r="H14" s="1"/>
  <c r="J4"/>
  <c r="J10" s="1"/>
  <c r="K3"/>
  <c r="L20" i="4"/>
  <c r="Q20"/>
  <c r="Q22"/>
  <c r="Q23" s="1"/>
  <c r="N20"/>
  <c r="N22"/>
  <c r="J20"/>
  <c r="J22"/>
  <c r="M20"/>
  <c r="M22"/>
  <c r="H10"/>
  <c r="H11" s="1"/>
  <c r="H14" s="1"/>
  <c r="G13"/>
  <c r="J4"/>
  <c r="J10" s="1"/>
  <c r="I11" s="1"/>
  <c r="I14" s="1"/>
  <c r="K3"/>
  <c r="K22"/>
  <c r="K20"/>
  <c r="I20"/>
  <c r="I22"/>
  <c r="I4" i="3"/>
  <c r="I10" s="1"/>
  <c r="H11" s="1"/>
  <c r="H14" s="1"/>
  <c r="J3"/>
  <c r="G17"/>
  <c r="G18" s="1"/>
  <c r="G19" s="1"/>
  <c r="G14"/>
  <c r="G10"/>
  <c r="L20" i="2"/>
  <c r="L22"/>
  <c r="I20"/>
  <c r="I22"/>
  <c r="K22"/>
  <c r="K20"/>
  <c r="N20"/>
  <c r="N22"/>
  <c r="Q20"/>
  <c r="Q22"/>
  <c r="Q23" s="1"/>
  <c r="G17"/>
  <c r="G18" s="1"/>
  <c r="G19"/>
  <c r="G21" s="1"/>
  <c r="I4"/>
  <c r="I10" s="1"/>
  <c r="J3"/>
  <c r="G20" i="6" l="1"/>
  <c r="G22"/>
  <c r="G23" s="1"/>
  <c r="G15"/>
  <c r="J4"/>
  <c r="J10" s="1"/>
  <c r="K3"/>
  <c r="H11"/>
  <c r="H14" s="1"/>
  <c r="I11" i="5"/>
  <c r="I14" s="1"/>
  <c r="K4"/>
  <c r="K10" s="1"/>
  <c r="L3"/>
  <c r="G17"/>
  <c r="G18" s="1"/>
  <c r="G19" s="1"/>
  <c r="G10"/>
  <c r="G14"/>
  <c r="K4" i="4"/>
  <c r="K10" s="1"/>
  <c r="L3"/>
  <c r="G14"/>
  <c r="G17"/>
  <c r="G18" s="1"/>
  <c r="G19" s="1"/>
  <c r="G21" s="1"/>
  <c r="G10"/>
  <c r="I23"/>
  <c r="I15"/>
  <c r="H23"/>
  <c r="H15"/>
  <c r="J4" i="3"/>
  <c r="J10" s="1"/>
  <c r="I11" s="1"/>
  <c r="I14" s="1"/>
  <c r="K3"/>
  <c r="G20" i="2"/>
  <c r="G22"/>
  <c r="J4"/>
  <c r="J10" s="1"/>
  <c r="I11" s="1"/>
  <c r="I14" s="1"/>
  <c r="K3"/>
  <c r="H11"/>
  <c r="H14" s="1"/>
  <c r="K4" i="6" l="1"/>
  <c r="K10" s="1"/>
  <c r="J11" s="1"/>
  <c r="J14" s="1"/>
  <c r="L3"/>
  <c r="I11"/>
  <c r="I14" s="1"/>
  <c r="H23"/>
  <c r="H15"/>
  <c r="L4" i="5"/>
  <c r="L10" s="1"/>
  <c r="M3"/>
  <c r="J11"/>
  <c r="J14" s="1"/>
  <c r="G22" i="4"/>
  <c r="G23" s="1"/>
  <c r="G20"/>
  <c r="G15"/>
  <c r="M3"/>
  <c r="L4"/>
  <c r="L10" s="1"/>
  <c r="J11"/>
  <c r="J14" s="1"/>
  <c r="K4" i="3"/>
  <c r="K10" s="1"/>
  <c r="J11" s="1"/>
  <c r="J14" s="1"/>
  <c r="L3"/>
  <c r="I23" i="2"/>
  <c r="H23"/>
  <c r="L3"/>
  <c r="K4"/>
  <c r="K10" s="1"/>
  <c r="J15" i="6" l="1"/>
  <c r="J23"/>
  <c r="I23"/>
  <c r="I15"/>
  <c r="M3"/>
  <c r="L4"/>
  <c r="L10" s="1"/>
  <c r="M4" i="5"/>
  <c r="M10" s="1"/>
  <c r="N3"/>
  <c r="K11"/>
  <c r="K14" s="1"/>
  <c r="J15" i="4"/>
  <c r="J23"/>
  <c r="N3"/>
  <c r="M4"/>
  <c r="M10" s="1"/>
  <c r="L11" s="1"/>
  <c r="L14" s="1"/>
  <c r="K11"/>
  <c r="K14" s="1"/>
  <c r="L4" i="3"/>
  <c r="L10" s="1"/>
  <c r="M3"/>
  <c r="J11" i="2"/>
  <c r="J14" s="1"/>
  <c r="M3"/>
  <c r="L4"/>
  <c r="L10" s="1"/>
  <c r="K11" i="6" l="1"/>
  <c r="K14" s="1"/>
  <c r="N3"/>
  <c r="M4"/>
  <c r="M10" s="1"/>
  <c r="L11" i="5"/>
  <c r="L14" s="1"/>
  <c r="N4"/>
  <c r="N10" s="1"/>
  <c r="O3"/>
  <c r="L15" i="4"/>
  <c r="L23"/>
  <c r="K23"/>
  <c r="K15"/>
  <c r="N4"/>
  <c r="N10" s="1"/>
  <c r="O3"/>
  <c r="K11" i="3"/>
  <c r="K14" s="1"/>
  <c r="M4"/>
  <c r="M10" s="1"/>
  <c r="N3"/>
  <c r="N3" i="2"/>
  <c r="M4"/>
  <c r="M10" s="1"/>
  <c r="J23"/>
  <c r="K11"/>
  <c r="K14" s="1"/>
  <c r="N4" i="6" l="1"/>
  <c r="N10" s="1"/>
  <c r="M11" s="1"/>
  <c r="M14" s="1"/>
  <c r="O3"/>
  <c r="K15"/>
  <c r="K23"/>
  <c r="L11"/>
  <c r="L14" s="1"/>
  <c r="O4" i="5"/>
  <c r="O10" s="1"/>
  <c r="P3"/>
  <c r="P4" s="1"/>
  <c r="P10" s="1"/>
  <c r="P11" s="1"/>
  <c r="P14" s="1"/>
  <c r="M11"/>
  <c r="M14" s="1"/>
  <c r="P3" i="4"/>
  <c r="P4" s="1"/>
  <c r="P10" s="1"/>
  <c r="P11" s="1"/>
  <c r="P14" s="1"/>
  <c r="O4"/>
  <c r="O10" s="1"/>
  <c r="O11" s="1"/>
  <c r="O14" s="1"/>
  <c r="M11"/>
  <c r="M14" s="1"/>
  <c r="O3" i="3"/>
  <c r="N4"/>
  <c r="N10" s="1"/>
  <c r="L11"/>
  <c r="L14" s="1"/>
  <c r="K23" i="2"/>
  <c r="N4"/>
  <c r="N10" s="1"/>
  <c r="O3"/>
  <c r="L11"/>
  <c r="L14" s="1"/>
  <c r="L23" i="6" l="1"/>
  <c r="L15"/>
  <c r="M15"/>
  <c r="M23"/>
  <c r="P3"/>
  <c r="P4" s="1"/>
  <c r="P10" s="1"/>
  <c r="P11" s="1"/>
  <c r="P14" s="1"/>
  <c r="O4"/>
  <c r="O10" s="1"/>
  <c r="O11" i="5"/>
  <c r="O14" s="1"/>
  <c r="N11"/>
  <c r="N14" s="1"/>
  <c r="M15" i="4"/>
  <c r="M23"/>
  <c r="N11"/>
  <c r="N14" s="1"/>
  <c r="O23"/>
  <c r="O15"/>
  <c r="P23"/>
  <c r="P15"/>
  <c r="P3" i="3"/>
  <c r="P4" s="1"/>
  <c r="P10" s="1"/>
  <c r="P11" s="1"/>
  <c r="P14" s="1"/>
  <c r="O4"/>
  <c r="O10" s="1"/>
  <c r="M11"/>
  <c r="M14" s="1"/>
  <c r="N11" i="2"/>
  <c r="N14" s="1"/>
  <c r="L23"/>
  <c r="M11"/>
  <c r="M14" s="1"/>
  <c r="O4"/>
  <c r="O10" s="1"/>
  <c r="P3"/>
  <c r="P4" s="1"/>
  <c r="P10" s="1"/>
  <c r="P11" s="1"/>
  <c r="P14" s="1"/>
  <c r="O11" i="6" l="1"/>
  <c r="O14" s="1"/>
  <c r="O23" s="1"/>
  <c r="N11"/>
  <c r="N14" s="1"/>
  <c r="P23"/>
  <c r="P15"/>
  <c r="O11" i="3"/>
  <c r="O14" s="1"/>
  <c r="N15" i="4"/>
  <c r="N23"/>
  <c r="N11" i="3"/>
  <c r="N14" s="1"/>
  <c r="P23" i="2"/>
  <c r="N23"/>
  <c r="M23"/>
  <c r="O11"/>
  <c r="O14" s="1"/>
  <c r="O15" i="6" l="1"/>
  <c r="N15"/>
  <c r="N23"/>
  <c r="O23" i="2"/>
  <c r="H11" i="1" l="1"/>
  <c r="H4"/>
  <c r="G13" s="1"/>
  <c r="G14" s="1"/>
  <c r="I4"/>
  <c r="J4"/>
  <c r="K4"/>
  <c r="L4"/>
  <c r="M4"/>
  <c r="N4"/>
  <c r="O4"/>
  <c r="P4"/>
  <c r="Q4"/>
  <c r="H13"/>
  <c r="H10" s="1"/>
  <c r="H15"/>
  <c r="I15"/>
  <c r="J15"/>
  <c r="K15"/>
  <c r="L15"/>
  <c r="M15"/>
  <c r="N15"/>
  <c r="O15"/>
  <c r="P15"/>
  <c r="Q15"/>
  <c r="G15"/>
  <c r="G4"/>
  <c r="I3"/>
  <c r="H3"/>
  <c r="I2"/>
  <c r="J2"/>
  <c r="K2" s="1"/>
  <c r="L2" s="1"/>
  <c r="M2" s="1"/>
  <c r="N2" s="1"/>
  <c r="O2" s="1"/>
  <c r="P2" s="1"/>
  <c r="Q2" s="1"/>
  <c r="H2"/>
  <c r="C4"/>
  <c r="Q14"/>
  <c r="Q13"/>
  <c r="Q17" s="1"/>
  <c r="Q18" s="1"/>
  <c r="P13"/>
  <c r="O13"/>
  <c r="O10" s="1"/>
  <c r="N13"/>
  <c r="N17" s="1"/>
  <c r="N18" s="1"/>
  <c r="N19" s="1"/>
  <c r="M13"/>
  <c r="M17" s="1"/>
  <c r="M18" s="1"/>
  <c r="L13"/>
  <c r="L17" s="1"/>
  <c r="L18" s="1"/>
  <c r="K13"/>
  <c r="K17" s="1"/>
  <c r="K18" s="1"/>
  <c r="J13"/>
  <c r="J17" s="1"/>
  <c r="J18" s="1"/>
  <c r="J19" s="1"/>
  <c r="I13"/>
  <c r="I17" s="1"/>
  <c r="I18" s="1"/>
  <c r="I19" s="1"/>
  <c r="N10" l="1"/>
  <c r="N11" s="1"/>
  <c r="M10"/>
  <c r="Q10"/>
  <c r="I10"/>
  <c r="M19"/>
  <c r="P10"/>
  <c r="O11" s="1"/>
  <c r="L19"/>
  <c r="K19"/>
  <c r="L10"/>
  <c r="Q19"/>
  <c r="K10"/>
  <c r="J10"/>
  <c r="G10"/>
  <c r="J3"/>
  <c r="O17"/>
  <c r="O18" s="1"/>
  <c r="O19" s="1"/>
  <c r="H17"/>
  <c r="H18" s="1"/>
  <c r="H19" s="1"/>
  <c r="P17"/>
  <c r="P18" s="1"/>
  <c r="P19" s="1"/>
  <c r="M11" l="1"/>
  <c r="L11"/>
  <c r="K11"/>
  <c r="P11"/>
  <c r="J11"/>
  <c r="I11"/>
  <c r="I14" s="1"/>
  <c r="G17"/>
  <c r="G18" s="1"/>
  <c r="G19" s="1"/>
  <c r="K3"/>
  <c r="H14"/>
  <c r="J14" l="1"/>
  <c r="L3"/>
  <c r="M3" l="1"/>
  <c r="K14" l="1"/>
  <c r="N3"/>
  <c r="O3" l="1"/>
  <c r="L14"/>
  <c r="N14" l="1"/>
  <c r="P3"/>
  <c r="P14" s="1"/>
  <c r="M14"/>
  <c r="O14" l="1"/>
  <c r="G15" i="2"/>
  <c r="G23"/>
</calcChain>
</file>

<file path=xl/sharedStrings.xml><?xml version="1.0" encoding="utf-8"?>
<sst xmlns="http://schemas.openxmlformats.org/spreadsheetml/2006/main" count="173" uniqueCount="26">
  <si>
    <t>№</t>
  </si>
  <si>
    <t>x</t>
  </si>
  <si>
    <t>L</t>
  </si>
  <si>
    <t>R</t>
  </si>
  <si>
    <t>dx</t>
  </si>
  <si>
    <t>A</t>
  </si>
  <si>
    <t>U</t>
  </si>
  <si>
    <t>k</t>
  </si>
  <si>
    <t>p</t>
  </si>
  <si>
    <t>ro</t>
  </si>
  <si>
    <t>Cp</t>
  </si>
  <si>
    <t>p*</t>
  </si>
  <si>
    <t>G</t>
  </si>
  <si>
    <t>T*</t>
  </si>
  <si>
    <t>dp</t>
  </si>
  <si>
    <t>n</t>
  </si>
  <si>
    <t>T</t>
  </si>
  <si>
    <t>c</t>
  </si>
  <si>
    <t>M</t>
  </si>
  <si>
    <t xml:space="preserve"> </t>
  </si>
  <si>
    <t>U_3D</t>
  </si>
  <si>
    <t>p_3D</t>
  </si>
  <si>
    <t>G_3D</t>
  </si>
  <si>
    <t>Tau_lam</t>
  </si>
  <si>
    <t>lamda</t>
  </si>
  <si>
    <t>Pi_lamda</t>
  </si>
</sst>
</file>

<file path=xl/styles.xml><?xml version="1.0" encoding="utf-8"?>
<styleSheet xmlns="http://schemas.openxmlformats.org/spreadsheetml/2006/main">
  <numFmts count="3">
    <numFmt numFmtId="164" formatCode="0.0"/>
    <numFmt numFmtId="165" formatCode="0.000"/>
    <numFmt numFmtId="166" formatCode="0.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2" fontId="0" fillId="0" borderId="0" xfId="0" applyNumberFormat="1"/>
    <xf numFmtId="0" fontId="0" fillId="0" borderId="0" xfId="0" applyNumberFormat="1"/>
    <xf numFmtId="0" fontId="0" fillId="0" borderId="1" xfId="0" applyNumberFormat="1" applyBorder="1"/>
    <xf numFmtId="0" fontId="0" fillId="0" borderId="0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/>
    <xf numFmtId="164" fontId="0" fillId="0" borderId="1" xfId="0" applyNumberFormat="1" applyBorder="1"/>
    <xf numFmtId="0" fontId="0" fillId="2" borderId="1" xfId="0" applyFill="1" applyBorder="1"/>
    <xf numFmtId="165" fontId="0" fillId="2" borderId="1" xfId="0" applyNumberFormat="1" applyFill="1" applyBorder="1"/>
    <xf numFmtId="0" fontId="0" fillId="3" borderId="1" xfId="0" applyFill="1" applyBorder="1"/>
    <xf numFmtId="166" fontId="0" fillId="2" borderId="1" xfId="0" applyNumberFormat="1" applyFill="1" applyBorder="1"/>
    <xf numFmtId="0" fontId="0" fillId="4" borderId="1" xfId="0" applyFill="1" applyBorder="1"/>
    <xf numFmtId="2" fontId="0" fillId="2" borderId="1" xfId="0" applyNumberFormat="1" applyFill="1" applyBorder="1"/>
    <xf numFmtId="1" fontId="0" fillId="4" borderId="1" xfId="0" applyNumberFormat="1" applyFill="1" applyBorder="1"/>
    <xf numFmtId="1" fontId="0" fillId="2" borderId="1" xfId="0" applyNumberFormat="1" applyFill="1" applyBorder="1"/>
    <xf numFmtId="164" fontId="0" fillId="2" borderId="1" xfId="0" applyNumberFormat="1" applyFill="1" applyBorder="1"/>
    <xf numFmtId="0" fontId="0" fillId="2" borderId="0" xfId="0" applyFill="1"/>
    <xf numFmtId="0" fontId="0" fillId="2" borderId="2" xfId="0" applyFill="1" applyBorder="1"/>
    <xf numFmtId="0" fontId="0" fillId="3" borderId="1" xfId="0" applyNumberFormat="1" applyFill="1" applyBorder="1"/>
    <xf numFmtId="0" fontId="0" fillId="5" borderId="1" xfId="0" applyNumberFormat="1" applyFill="1" applyBorder="1"/>
    <xf numFmtId="0" fontId="0" fillId="5" borderId="1" xfId="0" applyFill="1" applyBorder="1"/>
    <xf numFmtId="0" fontId="0" fillId="4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7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3" Type="http://schemas.microsoft.com/office/2011/relationships/chartStyle" Target="style8.xml"/><Relationship Id="rId2" Type="http://schemas.microsoft.com/office/2011/relationships/chartColorStyle" Target="colors8.xml"/><Relationship Id="rId1" Type="http://schemas.openxmlformats.org/officeDocument/2006/relationships/chartUserShapes" Target="../drawings/drawing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21A-4CBD-B2E1-9EF7307BBDFF}"/>
            </c:ext>
          </c:extLst>
        </c:ser>
        <c:axId val="151433216"/>
        <c:axId val="151434752"/>
      </c:scatterChart>
      <c:valAx>
        <c:axId val="15143321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434752"/>
        <c:crosses val="autoZero"/>
        <c:crossBetween val="midCat"/>
      </c:valAx>
      <c:valAx>
        <c:axId val="15143475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433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pconst135!$G$10:$Q$10</c:f>
              <c:numCache>
                <c:formatCode>0.000</c:formatCode>
                <c:ptCount val="11"/>
                <c:pt idx="0">
                  <c:v>1.3663165238514254</c:v>
                </c:pt>
                <c:pt idx="1">
                  <c:v>1.3663197670643263</c:v>
                </c:pt>
                <c:pt idx="2">
                  <c:v>1.3665020425140293</c:v>
                </c:pt>
                <c:pt idx="3">
                  <c:v>1.3667666214711018</c:v>
                </c:pt>
                <c:pt idx="4">
                  <c:v>1.3670804272061059</c:v>
                </c:pt>
                <c:pt idx="5">
                  <c:v>1.3674069190133782</c:v>
                </c:pt>
                <c:pt idx="6">
                  <c:v>1.3677090959522973</c:v>
                </c:pt>
                <c:pt idx="7" formatCode="0.00">
                  <c:v>1.3679543599839599</c:v>
                </c:pt>
                <c:pt idx="8">
                  <c:v>1.3681211846855306</c:v>
                </c:pt>
                <c:pt idx="9">
                  <c:v>1.3682064201253556</c:v>
                </c:pt>
                <c:pt idx="10">
                  <c:v>1.3682298874393872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1B1-4DDB-AFE0-805F7C446677}"/>
            </c:ext>
          </c:extLst>
        </c:ser>
        <c:axId val="151218432"/>
        <c:axId val="151207936"/>
      </c:scatterChart>
      <c:valAx>
        <c:axId val="15121843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207936"/>
        <c:crosses val="autoZero"/>
        <c:crossBetween val="midCat"/>
      </c:valAx>
      <c:valAx>
        <c:axId val="1512079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1218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pconst135!$G$6:$Q$6</c:f>
              <c:numCache>
                <c:formatCode>General</c:formatCode>
                <c:ptCount val="11"/>
                <c:pt idx="0">
                  <c:v>133051.53526306202</c:v>
                </c:pt>
                <c:pt idx="1">
                  <c:v>132585.0204570019</c:v>
                </c:pt>
                <c:pt idx="2">
                  <c:v>131975.35096062184</c:v>
                </c:pt>
                <c:pt idx="3">
                  <c:v>131167.04864642158</c:v>
                </c:pt>
                <c:pt idx="4">
                  <c:v>130077.46773118924</c:v>
                </c:pt>
                <c:pt idx="5">
                  <c:v>128581.01478432902</c:v>
                </c:pt>
                <c:pt idx="6">
                  <c:v>126481.62501993927</c:v>
                </c:pt>
                <c:pt idx="7">
                  <c:v>123463.65894101333</c:v>
                </c:pt>
                <c:pt idx="8">
                  <c:v>119000.64254371547</c:v>
                </c:pt>
                <c:pt idx="9">
                  <c:v>112177.50864414575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F8EF-41C4-B3AF-B06FA5FE879B}"/>
            </c:ext>
          </c:extLst>
        </c:ser>
        <c:ser>
          <c:idx val="1"/>
          <c:order val="1"/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pconst135!$D$26:$H$26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099-431A-8E56-64985510B7BC}"/>
            </c:ext>
          </c:extLst>
        </c:ser>
        <c:axId val="157053696"/>
        <c:axId val="157055232"/>
      </c:scatterChart>
      <c:valAx>
        <c:axId val="15705369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055232"/>
        <c:crosses val="autoZero"/>
        <c:crossBetween val="midCat"/>
      </c:valAx>
      <c:valAx>
        <c:axId val="157055232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05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pconst135!$G$2:$Q$2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pconst135!$G$5:$Q$5</c:f>
              <c:numCache>
                <c:formatCode>General</c:formatCode>
                <c:ptCount val="11"/>
                <c:pt idx="0">
                  <c:v>57.345863662693617</c:v>
                </c:pt>
                <c:pt idx="1">
                  <c:v>63.541273244471491</c:v>
                </c:pt>
                <c:pt idx="2">
                  <c:v>70.806929022965377</c:v>
                </c:pt>
                <c:pt idx="3">
                  <c:v>79.397519650294129</c:v>
                </c:pt>
                <c:pt idx="4">
                  <c:v>89.652956402094503</c:v>
                </c:pt>
                <c:pt idx="5">
                  <c:v>102.02955520689169</c:v>
                </c:pt>
                <c:pt idx="6">
                  <c:v>117.15172537059544</c:v>
                </c:pt>
                <c:pt idx="7">
                  <c:v>135.8927282316663</c:v>
                </c:pt>
                <c:pt idx="8">
                  <c:v>159.50475198776715</c:v>
                </c:pt>
                <c:pt idx="9">
                  <c:v>189.83572747710332</c:v>
                </c:pt>
                <c:pt idx="10">
                  <c:v>229.70519916278516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43E-4423-BA46-2CACB878F55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rgbClr val="FF0000"/>
                </a:solidFill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F9D-49EA-80C6-8F8257718068}"/>
              </c:ext>
            </c:extLst>
          </c:dPt>
          <c:xVal>
            <c:numRef>
              <c:f>pconst135!$D$24:$H$24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pconst135!$D$25:$H$25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F9D-49EA-80C6-8F8257718068}"/>
            </c:ext>
          </c:extLst>
        </c:ser>
        <c:axId val="152666112"/>
        <c:axId val="152667648"/>
      </c:scatterChart>
      <c:valAx>
        <c:axId val="15266611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667648"/>
        <c:crosses val="autoZero"/>
        <c:crossBetween val="midCat"/>
      </c:valAx>
      <c:valAx>
        <c:axId val="1526676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2666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6B-4AD6-8C19-1501C1947CCA}"/>
            </c:ext>
          </c:extLst>
        </c:ser>
        <c:marker val="1"/>
        <c:axId val="157135232"/>
        <c:axId val="157136768"/>
      </c:lineChart>
      <c:catAx>
        <c:axId val="157135232"/>
        <c:scaling>
          <c:orientation val="minMax"/>
        </c:scaling>
        <c:axPos val="b"/>
        <c:tickLblPos val="nextTo"/>
        <c:crossAx val="157136768"/>
        <c:crosses val="autoZero"/>
        <c:auto val="1"/>
        <c:lblAlgn val="ctr"/>
        <c:lblOffset val="100"/>
      </c:catAx>
      <c:valAx>
        <c:axId val="157136768"/>
        <c:scaling>
          <c:orientation val="minMax"/>
        </c:scaling>
        <c:axPos val="l"/>
        <c:majorGridlines/>
        <c:numFmt formatCode="General" sourceLinked="1"/>
        <c:tickLblPos val="nextTo"/>
        <c:crossAx val="157135232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02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75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41C-4BF7-9B90-5C50EEE3FBF5}"/>
            </c:ext>
          </c:extLst>
        </c:ser>
        <c:marker val="1"/>
        <c:axId val="157144960"/>
        <c:axId val="157146496"/>
      </c:lineChart>
      <c:catAx>
        <c:axId val="157144960"/>
        <c:scaling>
          <c:orientation val="minMax"/>
        </c:scaling>
        <c:axPos val="b"/>
        <c:tickLblPos val="nextTo"/>
        <c:crossAx val="157146496"/>
        <c:crosses val="autoZero"/>
        <c:auto val="1"/>
        <c:lblAlgn val="ctr"/>
        <c:lblOffset val="100"/>
      </c:catAx>
      <c:valAx>
        <c:axId val="157146496"/>
        <c:scaling>
          <c:orientation val="minMax"/>
        </c:scaling>
        <c:axPos val="l"/>
        <c:majorGridlines/>
        <c:numFmt formatCode="0.000" sourceLinked="1"/>
        <c:tickLblPos val="nextTo"/>
        <c:crossAx val="157144960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pvar135!$G$14:$Q$14</c:f>
              <c:numCache>
                <c:formatCode>0</c:formatCode>
                <c:ptCount val="11"/>
                <c:pt idx="0">
                  <c:v>133574.22825503966</c:v>
                </c:pt>
                <c:pt idx="1">
                  <c:v>133226.31357547204</c:v>
                </c:pt>
                <c:pt idx="2">
                  <c:v>132771.17449122321</c:v>
                </c:pt>
                <c:pt idx="3">
                  <c:v>132161.66616444036</c:v>
                </c:pt>
                <c:pt idx="4">
                  <c:v>131328.86819216813</c:v>
                </c:pt>
                <c:pt idx="5">
                  <c:v>130163.57592238429</c:v>
                </c:pt>
                <c:pt idx="6">
                  <c:v>128484.85993121493</c:v>
                </c:pt>
                <c:pt idx="7">
                  <c:v>125974.33447040808</c:v>
                </c:pt>
                <c:pt idx="8">
                  <c:v>122019.68731102513</c:v>
                </c:pt>
                <c:pt idx="9">
                  <c:v>115251.05222710465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B06-44FF-BD7D-86C1100DB365}"/>
            </c:ext>
          </c:extLst>
        </c:ser>
        <c:marker val="1"/>
        <c:axId val="157297664"/>
        <c:axId val="157315840"/>
      </c:lineChart>
      <c:catAx>
        <c:axId val="157297664"/>
        <c:scaling>
          <c:orientation val="minMax"/>
        </c:scaling>
        <c:axPos val="b"/>
        <c:tickLblPos val="nextTo"/>
        <c:crossAx val="157315840"/>
        <c:crosses val="autoZero"/>
        <c:auto val="1"/>
        <c:lblAlgn val="ctr"/>
        <c:lblOffset val="100"/>
      </c:catAx>
      <c:valAx>
        <c:axId val="157315840"/>
        <c:scaling>
          <c:orientation val="minMax"/>
        </c:scaling>
        <c:axPos val="l"/>
        <c:majorGridlines/>
        <c:numFmt formatCode="0" sourceLinked="1"/>
        <c:tickLblPos val="nextTo"/>
        <c:crossAx val="157297664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pvar135!$G$13:$Q$13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46D-41B2-BC0E-EFBD217D1A15}"/>
            </c:ext>
          </c:extLst>
        </c:ser>
        <c:marker val="1"/>
        <c:axId val="157348224"/>
        <c:axId val="157349760"/>
      </c:lineChart>
      <c:catAx>
        <c:axId val="157348224"/>
        <c:scaling>
          <c:orientation val="minMax"/>
        </c:scaling>
        <c:axPos val="b"/>
        <c:tickLblPos val="nextTo"/>
        <c:crossAx val="157349760"/>
        <c:crosses val="autoZero"/>
        <c:auto val="1"/>
        <c:lblAlgn val="ctr"/>
        <c:lblOffset val="100"/>
      </c:catAx>
      <c:valAx>
        <c:axId val="157349760"/>
        <c:scaling>
          <c:orientation val="minMax"/>
        </c:scaling>
        <c:axPos val="l"/>
        <c:majorGridlines/>
        <c:numFmt formatCode="General" sourceLinked="1"/>
        <c:tickLblPos val="nextTo"/>
        <c:crossAx val="157348224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8.1717244377049705E-2"/>
          <c:y val="0.14030587550383997"/>
          <c:w val="0.87068384790668563"/>
          <c:h val="0.76686257000773406"/>
        </c:manualLayout>
      </c:layout>
      <c:lineChart>
        <c:grouping val="stacked"/>
        <c:ser>
          <c:idx val="0"/>
          <c:order val="0"/>
          <c:val>
            <c:numRef>
              <c:f>pconst105!$G$3:$Q$3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353-4F58-97F5-AE0BB54DA7C6}"/>
            </c:ext>
          </c:extLst>
        </c:ser>
        <c:marker val="1"/>
        <c:axId val="157198592"/>
        <c:axId val="157204480"/>
      </c:lineChart>
      <c:catAx>
        <c:axId val="157198592"/>
        <c:scaling>
          <c:orientation val="minMax"/>
        </c:scaling>
        <c:axPos val="b"/>
        <c:tickLblPos val="nextTo"/>
        <c:crossAx val="157204480"/>
        <c:crosses val="autoZero"/>
        <c:auto val="1"/>
        <c:lblAlgn val="ctr"/>
        <c:lblOffset val="100"/>
      </c:catAx>
      <c:valAx>
        <c:axId val="157204480"/>
        <c:scaling>
          <c:orientation val="minMax"/>
        </c:scaling>
        <c:axPos val="l"/>
        <c:majorGridlines/>
        <c:numFmt formatCode="General" sourceLinked="1"/>
        <c:tickLblPos val="nextTo"/>
        <c:crossAx val="157198592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2452182246933767"/>
          <c:y val="3.988603272790321E-3"/>
        </c:manualLayout>
      </c:layout>
    </c:title>
    <c:plotArea>
      <c:layout>
        <c:manualLayout>
          <c:layoutTarget val="inner"/>
          <c:xMode val="edge"/>
          <c:yMode val="edge"/>
          <c:x val="0.18932709440903175"/>
          <c:y val="0.11842320148539368"/>
          <c:w val="0.70526137357830365"/>
          <c:h val="0.78874504094128561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pconst105!$G$10:$Q$10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348-4DB5-B610-088716761A78}"/>
            </c:ext>
          </c:extLst>
        </c:ser>
        <c:marker val="1"/>
        <c:axId val="157228416"/>
        <c:axId val="157234304"/>
      </c:lineChart>
      <c:catAx>
        <c:axId val="157228416"/>
        <c:scaling>
          <c:orientation val="minMax"/>
        </c:scaling>
        <c:axPos val="b"/>
        <c:tickLblPos val="nextTo"/>
        <c:crossAx val="157234304"/>
        <c:crosses val="autoZero"/>
        <c:auto val="1"/>
        <c:lblAlgn val="ctr"/>
        <c:lblOffset val="100"/>
      </c:catAx>
      <c:valAx>
        <c:axId val="157234304"/>
        <c:scaling>
          <c:orientation val="minMax"/>
        </c:scaling>
        <c:axPos val="l"/>
        <c:majorGridlines/>
        <c:numFmt formatCode="0.000" sourceLinked="1"/>
        <c:tickLblPos val="nextTo"/>
        <c:crossAx val="157228416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9883071626123412"/>
          <c:y val="5.2467692952569249E-3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2207950483508452"/>
          <c:w val="0.77793501549938593"/>
          <c:h val="0.78508864151510882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pconst105!$G$14:$Q$14</c:f>
              <c:numCache>
                <c:formatCode>General</c:formatCode>
                <c:ptCount val="11"/>
                <c:pt idx="0" formatCode="0">
                  <c:v>104786.74969160535</c:v>
                </c:pt>
                <c:pt idx="1">
                  <c:v>104735.69568611095</c:v>
                </c:pt>
                <c:pt idx="2">
                  <c:v>104669.06973389479</c:v>
                </c:pt>
                <c:pt idx="3">
                  <c:v>104580.80925216197</c:v>
                </c:pt>
                <c:pt idx="4">
                  <c:v>104461.91108778602</c:v>
                </c:pt>
                <c:pt idx="5">
                  <c:v>104298.68268580665</c:v>
                </c:pt>
                <c:pt idx="6">
                  <c:v>104069.73174424389</c:v>
                </c:pt>
                <c:pt idx="7">
                  <c:v>103740.59722119931</c:v>
                </c:pt>
                <c:pt idx="8">
                  <c:v>103253.77822192019</c:v>
                </c:pt>
                <c:pt idx="9">
                  <c:v>102509.33114768284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A8-4AF8-81A7-B7DCFCFA29F0}"/>
            </c:ext>
          </c:extLst>
        </c:ser>
        <c:marker val="1"/>
        <c:axId val="157254400"/>
        <c:axId val="157255936"/>
      </c:lineChart>
      <c:catAx>
        <c:axId val="157254400"/>
        <c:scaling>
          <c:orientation val="minMax"/>
        </c:scaling>
        <c:axPos val="b"/>
        <c:tickLblPos val="nextTo"/>
        <c:crossAx val="157255936"/>
        <c:crosses val="autoZero"/>
        <c:auto val="1"/>
        <c:lblAlgn val="ctr"/>
        <c:lblOffset val="100"/>
      </c:catAx>
      <c:valAx>
        <c:axId val="157255936"/>
        <c:scaling>
          <c:orientation val="minMax"/>
        </c:scaling>
        <c:axPos val="l"/>
        <c:majorGridlines/>
        <c:numFmt formatCode="0" sourceLinked="1"/>
        <c:tickLblPos val="nextTo"/>
        <c:crossAx val="157254400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89074657534523E-2"/>
          <c:y val="0.11639446171946691"/>
          <c:w val="0.90614185656268986"/>
          <c:h val="0.7834123673485065"/>
        </c:manualLayout>
      </c:layout>
      <c:lineChart>
        <c:grouping val="stacked"/>
        <c:ser>
          <c:idx val="0"/>
          <c:order val="0"/>
          <c:val>
            <c:numRef>
              <c:f>pconst105!$G$13:$Q$13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2B1-4B35-80DD-52082F7AFB3F}"/>
            </c:ext>
          </c:extLst>
        </c:ser>
        <c:marker val="1"/>
        <c:axId val="157276032"/>
        <c:axId val="157277568"/>
      </c:lineChart>
      <c:catAx>
        <c:axId val="157276032"/>
        <c:scaling>
          <c:orientation val="minMax"/>
        </c:scaling>
        <c:axPos val="b"/>
        <c:tickLblPos val="nextTo"/>
        <c:crossAx val="157277568"/>
        <c:crosses val="autoZero"/>
        <c:auto val="1"/>
        <c:lblAlgn val="ctr"/>
        <c:lblOffset val="100"/>
      </c:catAx>
      <c:valAx>
        <c:axId val="157277568"/>
        <c:scaling>
          <c:orientation val="minMax"/>
        </c:scaling>
        <c:axPos val="l"/>
        <c:majorGridlines/>
        <c:numFmt formatCode="General" sourceLinked="1"/>
        <c:tickLblPos val="nextTo"/>
        <c:crossAx val="157276032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pvar105!$G$3:$Q$3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AC9-42D7-99C4-AF27E5E07132}"/>
            </c:ext>
          </c:extLst>
        </c:ser>
        <c:marker val="1"/>
        <c:axId val="157437312"/>
        <c:axId val="157459584"/>
      </c:lineChart>
      <c:catAx>
        <c:axId val="157437312"/>
        <c:scaling>
          <c:orientation val="minMax"/>
        </c:scaling>
        <c:axPos val="b"/>
        <c:tickLblPos val="nextTo"/>
        <c:crossAx val="157459584"/>
        <c:crosses val="autoZero"/>
        <c:auto val="1"/>
        <c:lblAlgn val="ctr"/>
        <c:lblOffset val="100"/>
      </c:catAx>
      <c:valAx>
        <c:axId val="157459584"/>
        <c:scaling>
          <c:orientation val="minMax"/>
        </c:scaling>
        <c:axPos val="l"/>
        <c:majorGridlines/>
        <c:numFmt formatCode="General" sourceLinked="1"/>
        <c:tickLblPos val="nextTo"/>
        <c:crossAx val="157437312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>
        <c:manualLayout>
          <c:layoutTarget val="inner"/>
          <c:xMode val="edge"/>
          <c:yMode val="edge"/>
          <c:x val="0.18932709440903181"/>
          <c:y val="0.14735402898257166"/>
          <c:w val="0.70526137357830365"/>
          <c:h val="0.75981428631030423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pvar105!$G$10:$Q$10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98-46F2-8634-F28DFA446272}"/>
            </c:ext>
          </c:extLst>
        </c:ser>
        <c:marker val="1"/>
        <c:axId val="157491968"/>
        <c:axId val="157493504"/>
      </c:lineChart>
      <c:catAx>
        <c:axId val="157491968"/>
        <c:scaling>
          <c:orientation val="minMax"/>
        </c:scaling>
        <c:axPos val="b"/>
        <c:tickLblPos val="nextTo"/>
        <c:crossAx val="157493504"/>
        <c:crosses val="autoZero"/>
        <c:auto val="1"/>
        <c:lblAlgn val="ctr"/>
        <c:lblOffset val="100"/>
      </c:catAx>
      <c:valAx>
        <c:axId val="157493504"/>
        <c:scaling>
          <c:orientation val="minMax"/>
        </c:scaling>
        <c:axPos val="l"/>
        <c:majorGridlines/>
        <c:numFmt formatCode="0.000" sourceLinked="1"/>
        <c:tickLblPos val="nextTo"/>
        <c:crossAx val="157491968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38867832446364725"/>
          <c:y val="4.005697945037771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0.17922152581434908"/>
          <c:w val="0.75763023190421153"/>
          <c:h val="0.72794647668021983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pvar105!$G$14:$Q$14</c:f>
              <c:numCache>
                <c:formatCode>0</c:formatCode>
                <c:ptCount val="11"/>
                <c:pt idx="0">
                  <c:v>104795.36960394381</c:v>
                </c:pt>
                <c:pt idx="1">
                  <c:v>104746.20422899675</c:v>
                </c:pt>
                <c:pt idx="2">
                  <c:v>104681.88384740002</c:v>
                </c:pt>
                <c:pt idx="3">
                  <c:v>104596.46592138089</c:v>
                </c:pt>
                <c:pt idx="4">
                  <c:v>104481.0687341094</c:v>
                </c:pt>
                <c:pt idx="5">
                  <c:v>104322.10354246786</c:v>
                </c:pt>
                <c:pt idx="6">
                  <c:v>104098.15855164286</c:v>
                </c:pt>
                <c:pt idx="7">
                  <c:v>103774.30665277598</c:v>
                </c:pt>
                <c:pt idx="8">
                  <c:v>103291.15925986697</c:v>
                </c:pt>
                <c:pt idx="9">
                  <c:v>102542.43258943266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D07-44CE-977C-E7CCCEAA8466}"/>
            </c:ext>
          </c:extLst>
        </c:ser>
        <c:marker val="1"/>
        <c:axId val="157521792"/>
        <c:axId val="157523328"/>
      </c:lineChart>
      <c:catAx>
        <c:axId val="157521792"/>
        <c:scaling>
          <c:orientation val="minMax"/>
        </c:scaling>
        <c:axPos val="b"/>
        <c:tickLblPos val="nextTo"/>
        <c:crossAx val="157523328"/>
        <c:crosses val="autoZero"/>
        <c:auto val="1"/>
        <c:lblAlgn val="ctr"/>
        <c:lblOffset val="100"/>
      </c:catAx>
      <c:valAx>
        <c:axId val="157523328"/>
        <c:scaling>
          <c:orientation val="minMax"/>
        </c:scaling>
        <c:axPos val="l"/>
        <c:majorGridlines/>
        <c:numFmt formatCode="0" sourceLinked="1"/>
        <c:tickLblPos val="nextTo"/>
        <c:crossAx val="157521792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6.5533696897268831E-2"/>
          <c:y val="0.13027108842765772"/>
          <c:w val="0.84708651405317581"/>
          <c:h val="0.76807003226885773"/>
        </c:manualLayout>
      </c:layout>
      <c:lineChart>
        <c:grouping val="stacked"/>
        <c:ser>
          <c:idx val="0"/>
          <c:order val="0"/>
          <c:val>
            <c:numRef>
              <c:f>pvar105!$G$13:$Q$13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D76-4DF2-8D85-5680EC6C2A03}"/>
            </c:ext>
          </c:extLst>
        </c:ser>
        <c:marker val="1"/>
        <c:axId val="157543424"/>
        <c:axId val="157614848"/>
      </c:lineChart>
      <c:catAx>
        <c:axId val="157543424"/>
        <c:scaling>
          <c:orientation val="minMax"/>
        </c:scaling>
        <c:axPos val="b"/>
        <c:tickLblPos val="nextTo"/>
        <c:crossAx val="157614848"/>
        <c:crosses val="autoZero"/>
        <c:auto val="1"/>
        <c:lblAlgn val="ctr"/>
        <c:lblOffset val="100"/>
      </c:catAx>
      <c:valAx>
        <c:axId val="157614848"/>
        <c:scaling>
          <c:orientation val="minMax"/>
        </c:scaling>
        <c:axPos val="l"/>
        <c:majorGridlines/>
        <c:numFmt formatCode="General" sourceLinked="1"/>
        <c:tickLblPos val="nextTo"/>
        <c:crossAx val="157543424"/>
        <c:crosses val="autoZero"/>
        <c:crossBetween val="between"/>
      </c:valAx>
    </c:plotArea>
    <c:plotVisOnly val="1"/>
    <c:dispBlanksAs val="zero"/>
  </c:chart>
  <c:printSettings>
    <c:headerFooter/>
    <c:pageMargins b="0.75000000000000133" l="0.70000000000000062" r="0.70000000000000062" t="0.75000000000000133" header="0.30000000000000032" footer="0.30000000000000032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254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167-4D5E-BB09-12EA5F53D651}"/>
            </c:ext>
          </c:extLst>
        </c:ser>
        <c:axId val="157751168"/>
        <c:axId val="157752704"/>
      </c:scatterChart>
      <c:valAx>
        <c:axId val="15775116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52704"/>
        <c:crosses val="autoZero"/>
        <c:crossBetween val="midCat"/>
      </c:valAx>
      <c:valAx>
        <c:axId val="1577527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51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E3-4C89-8BAE-81FFBFD4C696}"/>
            </c:ext>
          </c:extLst>
        </c:ser>
        <c:axId val="157699072"/>
        <c:axId val="157704960"/>
      </c:scatterChart>
      <c:valAx>
        <c:axId val="157699072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04960"/>
        <c:crosses val="autoZero"/>
        <c:crossBetween val="midCat"/>
      </c:valAx>
      <c:valAx>
        <c:axId val="15770496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699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64-445B-AD27-94AE4230845D}"/>
            </c:ext>
          </c:extLst>
        </c:ser>
        <c:axId val="157794688"/>
        <c:axId val="157796224"/>
      </c:scatterChart>
      <c:valAx>
        <c:axId val="157794688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96224"/>
        <c:crosses val="autoZero"/>
        <c:crossBetween val="midCat"/>
      </c:valAx>
      <c:valAx>
        <c:axId val="157796224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79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7.1627313356300584E-2"/>
          <c:y val="0.15678135623796394"/>
          <c:w val="0.85165196667586762"/>
          <c:h val="0.69443373813180276"/>
        </c:manualLayout>
      </c:layout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'M1,5const'!$G$2:$Q$2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'M1,5const'!$G$5:$Q$5</c:f>
              <c:numCache>
                <c:formatCode>General</c:formatCode>
                <c:ptCount val="11"/>
                <c:pt idx="0">
                  <c:v>106.77346521740971</c:v>
                </c:pt>
                <c:pt idx="1">
                  <c:v>118.30880602632858</c:v>
                </c:pt>
                <c:pt idx="2">
                  <c:v>131.83543684838898</c:v>
                </c:pt>
                <c:pt idx="3">
                  <c:v>147.82577804181702</c:v>
                </c:pt>
                <c:pt idx="4">
                  <c:v>166.91248036802023</c:v>
                </c:pt>
                <c:pt idx="5">
                  <c:v>189.94514290211384</c:v>
                </c:pt>
                <c:pt idx="6">
                  <c:v>218.08663139815965</c:v>
                </c:pt>
                <c:pt idx="7">
                  <c:v>252.96346633415229</c:v>
                </c:pt>
                <c:pt idx="8">
                  <c:v>296.90787671612031</c:v>
                </c:pt>
                <c:pt idx="9">
                  <c:v>353.36103997023986</c:v>
                </c:pt>
                <c:pt idx="10">
                  <c:v>427.57197830846815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B5B-42B2-8BF1-628EDC3DF2D8}"/>
            </c:ext>
          </c:extLst>
        </c:ser>
        <c:axId val="157861376"/>
        <c:axId val="157862912"/>
      </c:scatterChart>
      <c:valAx>
        <c:axId val="157861376"/>
        <c:scaling>
          <c:orientation val="minMax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862912"/>
        <c:crosses val="autoZero"/>
        <c:crossBetween val="midCat"/>
      </c:valAx>
      <c:valAx>
        <c:axId val="15786291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861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Геометрия канала</c:v>
          </c:tx>
          <c:val>
            <c:numRef>
              <c:f>'M1,5var'!$G$3:$Q$3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74-4761-8033-9CFB012F83F0}"/>
            </c:ext>
          </c:extLst>
        </c:ser>
        <c:marker val="1"/>
        <c:axId val="157947776"/>
        <c:axId val="157949312"/>
      </c:lineChart>
      <c:catAx>
        <c:axId val="157947776"/>
        <c:scaling>
          <c:orientation val="minMax"/>
        </c:scaling>
        <c:axPos val="b"/>
        <c:tickLblPos val="nextTo"/>
        <c:crossAx val="157949312"/>
        <c:crosses val="autoZero"/>
        <c:auto val="1"/>
        <c:lblAlgn val="ctr"/>
        <c:lblOffset val="100"/>
      </c:catAx>
      <c:valAx>
        <c:axId val="157949312"/>
        <c:scaling>
          <c:orientation val="minMax"/>
        </c:scaling>
        <c:axPos val="l"/>
        <c:majorGridlines/>
        <c:numFmt formatCode="General" sourceLinked="1"/>
        <c:tickLblPos val="nextTo"/>
        <c:crossAx val="157947776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41934661752923702"/>
          <c:y val="0"/>
        </c:manualLayout>
      </c:layout>
    </c:title>
    <c:plotArea>
      <c:layout>
        <c:manualLayout>
          <c:layoutTarget val="inner"/>
          <c:xMode val="edge"/>
          <c:yMode val="edge"/>
          <c:x val="0.18932709440903175"/>
          <c:y val="7.4548702245552628E-2"/>
          <c:w val="0.70526137357830365"/>
          <c:h val="0.8326195683872849"/>
        </c:manualLayout>
      </c:layout>
      <c:lineChart>
        <c:grouping val="stacked"/>
        <c:ser>
          <c:idx val="0"/>
          <c:order val="0"/>
          <c:tx>
            <c:v>Расход</c:v>
          </c:tx>
          <c:val>
            <c:numRef>
              <c:f>'M1,5var'!$G$10:$Q$10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FB8-40E2-9E09-13E295A87DE1}"/>
            </c:ext>
          </c:extLst>
        </c:ser>
        <c:marker val="1"/>
        <c:axId val="157969792"/>
        <c:axId val="157979776"/>
      </c:lineChart>
      <c:catAx>
        <c:axId val="157969792"/>
        <c:scaling>
          <c:orientation val="minMax"/>
        </c:scaling>
        <c:axPos val="b"/>
        <c:tickLblPos val="nextTo"/>
        <c:crossAx val="157979776"/>
        <c:crosses val="autoZero"/>
        <c:auto val="1"/>
        <c:lblAlgn val="ctr"/>
        <c:lblOffset val="100"/>
      </c:catAx>
      <c:valAx>
        <c:axId val="157979776"/>
        <c:scaling>
          <c:orientation val="minMax"/>
        </c:scaling>
        <c:axPos val="l"/>
        <c:majorGridlines/>
        <c:numFmt formatCode="0.000" sourceLinked="1"/>
        <c:tickLblPos val="nextTo"/>
        <c:crossAx val="157969792"/>
        <c:crosses val="autoZero"/>
        <c:crossBetween val="between"/>
      </c:valAx>
    </c:plotArea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>
        <c:manualLayout>
          <c:xMode val="edge"/>
          <c:yMode val="edge"/>
          <c:x val="0.7460120815893807"/>
          <c:y val="7.496166645141264E-2"/>
        </c:manualLayout>
      </c:layout>
    </c:title>
    <c:plotArea>
      <c:layout>
        <c:manualLayout>
          <c:layoutTarget val="inner"/>
          <c:xMode val="edge"/>
          <c:yMode val="edge"/>
          <c:x val="0.16721062992125985"/>
          <c:y val="7.4548702245552628E-2"/>
          <c:w val="0.68402537182852163"/>
          <c:h val="0.8326195683872849"/>
        </c:manualLayout>
      </c:layout>
      <c:lineChart>
        <c:grouping val="stacked"/>
        <c:ser>
          <c:idx val="0"/>
          <c:order val="0"/>
          <c:tx>
            <c:v>Давление</c:v>
          </c:tx>
          <c:val>
            <c:numRef>
              <c:f>'M1,5var'!$G$14:$Q$14</c:f>
              <c:numCache>
                <c:formatCode>0</c:formatCode>
                <c:ptCount val="11"/>
                <c:pt idx="0">
                  <c:v>345885.55615800864</c:v>
                </c:pt>
                <c:pt idx="1">
                  <c:v>344879.34946673375</c:v>
                </c:pt>
                <c:pt idx="2">
                  <c:v>343563.01414328581</c:v>
                </c:pt>
                <c:pt idx="3">
                  <c:v>341797.61866806471</c:v>
                </c:pt>
                <c:pt idx="4">
                  <c:v>339380.4916916677</c:v>
                </c:pt>
                <c:pt idx="5">
                  <c:v>335988.51902558975</c:v>
                </c:pt>
                <c:pt idx="6">
                  <c:v>331081.64860489842</c:v>
                </c:pt>
                <c:pt idx="7">
                  <c:v>323696.40292464499</c:v>
                </c:pt>
                <c:pt idx="8">
                  <c:v>311934.15736079559</c:v>
                </c:pt>
                <c:pt idx="9">
                  <c:v>291317.40253341687</c:v>
                </c:pt>
                <c:pt idx="10">
                  <c:v>101325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EFA-4E93-B4B7-7EC6245989AF}"/>
            </c:ext>
          </c:extLst>
        </c:ser>
        <c:marker val="1"/>
        <c:axId val="158081792"/>
        <c:axId val="158083328"/>
      </c:lineChart>
      <c:catAx>
        <c:axId val="158081792"/>
        <c:scaling>
          <c:orientation val="minMax"/>
        </c:scaling>
        <c:axPos val="b"/>
        <c:tickLblPos val="nextTo"/>
        <c:crossAx val="158083328"/>
        <c:crosses val="autoZero"/>
        <c:auto val="1"/>
        <c:lblAlgn val="ctr"/>
        <c:lblOffset val="100"/>
      </c:catAx>
      <c:valAx>
        <c:axId val="158083328"/>
        <c:scaling>
          <c:orientation val="minMax"/>
        </c:scaling>
        <c:axPos val="l"/>
        <c:majorGridlines/>
        <c:numFmt formatCode="0" sourceLinked="1"/>
        <c:tickLblPos val="nextTo"/>
        <c:crossAx val="158081792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layout/>
    </c:title>
    <c:plotArea>
      <c:layout/>
      <c:lineChart>
        <c:grouping val="stacked"/>
        <c:ser>
          <c:idx val="0"/>
          <c:order val="0"/>
          <c:tx>
            <c:v>Скорость</c:v>
          </c:tx>
          <c:val>
            <c:numRef>
              <c:f>'M1,5var'!$G$13:$Q$13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D6-479A-9413-431CAF68029B}"/>
            </c:ext>
          </c:extLst>
        </c:ser>
        <c:marker val="1"/>
        <c:axId val="158103808"/>
        <c:axId val="158109696"/>
      </c:lineChart>
      <c:catAx>
        <c:axId val="158103808"/>
        <c:scaling>
          <c:orientation val="minMax"/>
        </c:scaling>
        <c:axPos val="b"/>
        <c:tickLblPos val="nextTo"/>
        <c:crossAx val="158109696"/>
        <c:crosses val="autoZero"/>
        <c:auto val="1"/>
        <c:lblAlgn val="ctr"/>
        <c:lblOffset val="100"/>
      </c:catAx>
      <c:valAx>
        <c:axId val="158109696"/>
        <c:scaling>
          <c:orientation val="minMax"/>
        </c:scaling>
        <c:axPos val="l"/>
        <c:majorGridlines/>
        <c:numFmt formatCode="General" sourceLinked="1"/>
        <c:tickLblPos val="nextTo"/>
        <c:crossAx val="158103808"/>
        <c:crosses val="autoZero"/>
        <c:crossBetween val="between"/>
      </c:valAx>
    </c:plotArea>
    <c:legend>
      <c:legendPos val="r"/>
      <c:layout/>
    </c:legend>
    <c:plotVisOnly val="1"/>
    <c:dispBlanksAs val="zero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281213</xdr:colOff>
      <xdr:row>38</xdr:row>
      <xdr:rowOff>59417</xdr:rowOff>
    </xdr:from>
    <xdr:to>
      <xdr:col>25</xdr:col>
      <xdr:colOff>162379</xdr:colOff>
      <xdr:row>54</xdr:row>
      <xdr:rowOff>15875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226786</xdr:colOff>
      <xdr:row>38</xdr:row>
      <xdr:rowOff>22679</xdr:rowOff>
    </xdr:from>
    <xdr:to>
      <xdr:col>32</xdr:col>
      <xdr:colOff>458110</xdr:colOff>
      <xdr:row>53</xdr:row>
      <xdr:rowOff>169637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0.40071</cdr:x>
      <cdr:y>0</cdr:y>
    </cdr:from>
    <cdr:to>
      <cdr:x>0.65085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49F6B2F5-D978-4A06-BE96-D358309703C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43050" y="0"/>
          <a:ext cx="963244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0.39416</cdr:x>
      <cdr:y>0</cdr:y>
    </cdr:from>
    <cdr:to>
      <cdr:x>0.64406</cdr:x>
      <cdr:y>0.16436</cdr:y>
    </cdr:to>
    <cdr:pic>
      <cdr:nvPicPr>
        <cdr:cNvPr id="6" name="chart">
          <a:extLst xmlns:a="http://schemas.openxmlformats.org/drawingml/2006/main">
            <a:ext uri="{FF2B5EF4-FFF2-40B4-BE49-F238E27FC236}">
              <a16:creationId xmlns:a16="http://schemas.microsoft.com/office/drawing/2014/main" xmlns="" id="{57D73EA8-6FA0-4C0E-8B87-8A09CC1805B6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9300" y="0"/>
          <a:ext cx="1280283" cy="49381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346934</xdr:colOff>
      <xdr:row>43</xdr:row>
      <xdr:rowOff>111126</xdr:rowOff>
    </xdr:from>
    <xdr:to>
      <xdr:col>36</xdr:col>
      <xdr:colOff>127000</xdr:colOff>
      <xdr:row>59</xdr:row>
      <xdr:rowOff>29024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224490</xdr:colOff>
      <xdr:row>41</xdr:row>
      <xdr:rowOff>129615</xdr:rowOff>
    </xdr:from>
    <xdr:to>
      <xdr:col>9</xdr:col>
      <xdr:colOff>0</xdr:colOff>
      <xdr:row>60</xdr:row>
      <xdr:rowOff>158750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142875</xdr:colOff>
      <xdr:row>43</xdr:row>
      <xdr:rowOff>72465</xdr:rowOff>
    </xdr:from>
    <xdr:to>
      <xdr:col>26</xdr:col>
      <xdr:colOff>492125</xdr:colOff>
      <xdr:row>58</xdr:row>
      <xdr:rowOff>174624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139326</xdr:colOff>
      <xdr:row>41</xdr:row>
      <xdr:rowOff>131110</xdr:rowOff>
    </xdr:from>
    <xdr:to>
      <xdr:col>17</xdr:col>
      <xdr:colOff>444499</xdr:colOff>
      <xdr:row>60</xdr:row>
      <xdr:rowOff>158750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238077</xdr:colOff>
      <xdr:row>20</xdr:row>
      <xdr:rowOff>49432</xdr:rowOff>
    </xdr:from>
    <xdr:to>
      <xdr:col>8</xdr:col>
      <xdr:colOff>367393</xdr:colOff>
      <xdr:row>35</xdr:row>
      <xdr:rowOff>136071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219955</xdr:colOff>
      <xdr:row>36</xdr:row>
      <xdr:rowOff>27214</xdr:rowOff>
    </xdr:from>
    <xdr:to>
      <xdr:col>8</xdr:col>
      <xdr:colOff>340179</xdr:colOff>
      <xdr:row>52</xdr:row>
      <xdr:rowOff>163286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30895</xdr:colOff>
      <xdr:row>20</xdr:row>
      <xdr:rowOff>54429</xdr:rowOff>
    </xdr:from>
    <xdr:to>
      <xdr:col>17</xdr:col>
      <xdr:colOff>136071</xdr:colOff>
      <xdr:row>35</xdr:row>
      <xdr:rowOff>136071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39541</xdr:colOff>
      <xdr:row>36</xdr:row>
      <xdr:rowOff>8645</xdr:rowOff>
    </xdr:from>
    <xdr:to>
      <xdr:col>17</xdr:col>
      <xdr:colOff>136072</xdr:colOff>
      <xdr:row>52</xdr:row>
      <xdr:rowOff>136071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0.33559</cdr:x>
      <cdr:y>0</cdr:y>
    </cdr:from>
    <cdr:to>
      <cdr:x>0.70772</cdr:x>
      <cdr:y>0.15008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923E93D3-34EA-4E2D-8B02-C8C8D3D1FBAA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687286" y="0"/>
          <a:ext cx="1871030" cy="44184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0.40317</cdr:x>
      <cdr:y>0</cdr:y>
    </cdr:from>
    <cdr:to>
      <cdr:x>0.63994</cdr:x>
      <cdr:y>0.15551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2ADB7084-93D6-4932-9954-429CD6E67E87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013857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61185</xdr:colOff>
      <xdr:row>24</xdr:row>
      <xdr:rowOff>54429</xdr:rowOff>
    </xdr:from>
    <xdr:to>
      <xdr:col>9</xdr:col>
      <xdr:colOff>217715</xdr:colOff>
      <xdr:row>39</xdr:row>
      <xdr:rowOff>108857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54430</xdr:colOff>
      <xdr:row>39</xdr:row>
      <xdr:rowOff>188579</xdr:rowOff>
    </xdr:from>
    <xdr:to>
      <xdr:col>9</xdr:col>
      <xdr:colOff>217714</xdr:colOff>
      <xdr:row>56</xdr:row>
      <xdr:rowOff>89966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303038</xdr:colOff>
      <xdr:row>24</xdr:row>
      <xdr:rowOff>54430</xdr:rowOff>
    </xdr:from>
    <xdr:to>
      <xdr:col>17</xdr:col>
      <xdr:colOff>408214</xdr:colOff>
      <xdr:row>39</xdr:row>
      <xdr:rowOff>108857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284468</xdr:colOff>
      <xdr:row>39</xdr:row>
      <xdr:rowOff>190499</xdr:rowOff>
    </xdr:from>
    <xdr:to>
      <xdr:col>17</xdr:col>
      <xdr:colOff>408214</xdr:colOff>
      <xdr:row>56</xdr:row>
      <xdr:rowOff>81642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0.37389</cdr:x>
      <cdr:y>3.19525E-7</cdr:y>
    </cdr:from>
    <cdr:to>
      <cdr:x>0.59452</cdr:x>
      <cdr:y>0.14783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6B9D122E-ADE4-494C-8276-2638B30C959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877786" y="1"/>
          <a:ext cx="1108061" cy="46264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544284</xdr:colOff>
      <xdr:row>38</xdr:row>
      <xdr:rowOff>43542</xdr:rowOff>
    </xdr:from>
    <xdr:to>
      <xdr:col>27</xdr:col>
      <xdr:colOff>130628</xdr:colOff>
      <xdr:row>54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30</xdr:col>
      <xdr:colOff>476250</xdr:colOff>
      <xdr:row>37</xdr:row>
      <xdr:rowOff>13608</xdr:rowOff>
    </xdr:from>
    <xdr:to>
      <xdr:col>37</xdr:col>
      <xdr:colOff>95252</xdr:colOff>
      <xdr:row>52</xdr:row>
      <xdr:rowOff>160566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353785</xdr:colOff>
      <xdr:row>38</xdr:row>
      <xdr:rowOff>0</xdr:rowOff>
    </xdr:from>
    <xdr:to>
      <xdr:col>8</xdr:col>
      <xdr:colOff>571501</xdr:colOff>
      <xdr:row>53</xdr:row>
      <xdr:rowOff>146958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340179</xdr:colOff>
      <xdr:row>38</xdr:row>
      <xdr:rowOff>0</xdr:rowOff>
    </xdr:from>
    <xdr:to>
      <xdr:col>15</xdr:col>
      <xdr:colOff>571503</xdr:colOff>
      <xdr:row>53</xdr:row>
      <xdr:rowOff>146958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R, m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0.29859</cdr:x>
      <cdr:y>0.01057</cdr:y>
    </cdr:from>
    <cdr:to>
      <cdr:x>0.70828</cdr:x>
      <cdr:y>0.17493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F29074DC-7881-482D-B4F7-11F201C9BAF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4000" y="31750"/>
          <a:ext cx="2091109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G, kg/s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0.3298</cdr:x>
      <cdr:y>0</cdr:y>
    </cdr:from>
    <cdr:to>
      <cdr:x>0.66227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4F45DE17-8C1E-45F4-B139-35D774953C8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270000" y="0"/>
          <a:ext cx="128027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p, Pa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0.41523</cdr:x>
      <cdr:y>0</cdr:y>
    </cdr:from>
    <cdr:to>
      <cdr:x>0.60325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833107C-1985-40CD-B90A-D86239A68494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2127250" y="0"/>
          <a:ext cx="963251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0.00595</cdr:x>
      <cdr:y>0.03869</cdr:y>
    </cdr:from>
    <cdr:to>
      <cdr:x>0.14881</cdr:x>
      <cdr:y>0.15278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7214" y="106137"/>
          <a:ext cx="653142" cy="3129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U, m/s</a:t>
          </a:r>
          <a:endParaRPr lang="ru-RU" sz="1100"/>
        </a:p>
      </cdr:txBody>
    </cdr:sp>
  </cdr:relSizeAnchor>
  <cdr:relSizeAnchor xmlns:cdr="http://schemas.openxmlformats.org/drawingml/2006/chartDrawing">
    <cdr:from>
      <cdr:x>0.62793</cdr:x>
      <cdr:y>0.47373</cdr:y>
    </cdr:from>
    <cdr:to>
      <cdr:x>0.79551</cdr:x>
      <cdr:y>0.77808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3426280" y="1423308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0.91272</cdr:x>
      <cdr:y>0.88678</cdr:y>
    </cdr:from>
    <cdr:to>
      <cdr:x>1</cdr:x>
      <cdr:y>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4980216" y="2664279"/>
          <a:ext cx="476250" cy="340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X,</a:t>
          </a:r>
          <a:r>
            <a:rPr lang="en-US" sz="1100" baseline="0"/>
            <a:t> m</a:t>
          </a:r>
          <a:endParaRPr lang="ru-RU" sz="1100"/>
        </a:p>
      </cdr:txBody>
    </cdr:sp>
  </cdr:relSizeAnchor>
  <cdr:relSizeAnchor xmlns:cdr="http://schemas.openxmlformats.org/drawingml/2006/chartDrawing">
    <cdr:from>
      <cdr:x>0.35453</cdr:x>
      <cdr:y>0</cdr:y>
    </cdr:from>
    <cdr:to>
      <cdr:x>0.66167</cdr:x>
      <cdr:y>0.16436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xmlns="" id="{1F0C1EE7-DA24-43A9-AC69-FF91BE78C8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5250" y="0"/>
          <a:ext cx="1182727" cy="493819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330369</xdr:colOff>
      <xdr:row>3</xdr:row>
      <xdr:rowOff>191881</xdr:rowOff>
    </xdr:from>
    <xdr:to>
      <xdr:col>29</xdr:col>
      <xdr:colOff>110435</xdr:colOff>
      <xdr:row>19</xdr:row>
      <xdr:rowOff>109779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265902</xdr:colOff>
      <xdr:row>24</xdr:row>
      <xdr:rowOff>5376</xdr:rowOff>
    </xdr:from>
    <xdr:to>
      <xdr:col>28</xdr:col>
      <xdr:colOff>41412</xdr:colOff>
      <xdr:row>43</xdr:row>
      <xdr:rowOff>34511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324403</xdr:colOff>
      <xdr:row>3</xdr:row>
      <xdr:rowOff>113879</xdr:rowOff>
    </xdr:from>
    <xdr:to>
      <xdr:col>40</xdr:col>
      <xdr:colOff>2761</xdr:colOff>
      <xdr:row>19</xdr:row>
      <xdr:rowOff>6902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332588</xdr:colOff>
      <xdr:row>23</xdr:row>
      <xdr:rowOff>34480</xdr:rowOff>
    </xdr:from>
    <xdr:to>
      <xdr:col>39</xdr:col>
      <xdr:colOff>30369</xdr:colOff>
      <xdr:row>42</xdr:row>
      <xdr:rowOff>62119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drawing" Target="../drawings/drawing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1" Type="http://schemas.openxmlformats.org/officeDocument/2006/relationships/drawing" Target="../drawings/drawing1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1" Type="http://schemas.openxmlformats.org/officeDocument/2006/relationships/drawing" Target="../drawings/drawing1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X56"/>
  <sheetViews>
    <sheetView tabSelected="1" zoomScale="60" zoomScaleNormal="60" workbookViewId="0">
      <selection activeCell="U28" sqref="U28"/>
    </sheetView>
  </sheetViews>
  <sheetFormatPr defaultRowHeight="15"/>
  <cols>
    <col min="3" max="3" width="10.140625" bestFit="1" customWidth="1"/>
    <col min="20" max="24" width="10.140625" bestFit="1" customWidth="1"/>
  </cols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57.345863662693617</v>
      </c>
      <c r="H5" s="3">
        <v>63.541273244471491</v>
      </c>
      <c r="I5" s="3">
        <v>70.806929022965377</v>
      </c>
      <c r="J5" s="3">
        <v>79.397519650294129</v>
      </c>
      <c r="K5" s="3">
        <v>89.652956402094503</v>
      </c>
      <c r="L5" s="3">
        <v>102.02955520689169</v>
      </c>
      <c r="M5" s="3">
        <v>117.15172537059544</v>
      </c>
      <c r="N5" s="3">
        <v>135.8927282316663</v>
      </c>
      <c r="O5" s="3">
        <v>159.50475198776715</v>
      </c>
      <c r="P5" s="3">
        <v>189.83572747710332</v>
      </c>
      <c r="Q5" s="3">
        <v>229.70519916278516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133051.53526306202</v>
      </c>
      <c r="H6" s="3">
        <v>132585.0204570019</v>
      </c>
      <c r="I6" s="3">
        <v>131975.35096062184</v>
      </c>
      <c r="J6" s="3">
        <v>131167.04864642158</v>
      </c>
      <c r="K6" s="3">
        <v>130077.46773118924</v>
      </c>
      <c r="L6" s="3">
        <v>128581.01478432902</v>
      </c>
      <c r="M6" s="3">
        <v>126481.62501993927</v>
      </c>
      <c r="N6" s="3">
        <v>123463.65894101333</v>
      </c>
      <c r="O6" s="3">
        <v>119000.64254371547</v>
      </c>
      <c r="P6" s="3">
        <v>112177.50864414575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135000</v>
      </c>
      <c r="D10" s="2"/>
      <c r="E10" s="2"/>
      <c r="F10" s="3" t="s">
        <v>12</v>
      </c>
      <c r="G10" s="6">
        <f>G4*G7*G13</f>
        <v>1.3663165238514254</v>
      </c>
      <c r="H10" s="6">
        <f t="shared" ref="H10:Q10" si="3">H4*H7*H13</f>
        <v>1.3663197670643263</v>
      </c>
      <c r="I10" s="6">
        <f t="shared" si="3"/>
        <v>1.3665020425140293</v>
      </c>
      <c r="J10" s="6">
        <f t="shared" si="3"/>
        <v>1.3667666214711018</v>
      </c>
      <c r="K10" s="6">
        <f t="shared" si="3"/>
        <v>1.3670804272061059</v>
      </c>
      <c r="L10" s="6">
        <f t="shared" si="3"/>
        <v>1.3674069190133782</v>
      </c>
      <c r="M10" s="6">
        <f t="shared" si="3"/>
        <v>1.3677090959522973</v>
      </c>
      <c r="N10" s="7">
        <f t="shared" si="3"/>
        <v>1.3679543599839599</v>
      </c>
      <c r="O10" s="6">
        <f t="shared" si="3"/>
        <v>1.3681211846855306</v>
      </c>
      <c r="P10" s="6">
        <f t="shared" si="3"/>
        <v>1.3682064201253556</v>
      </c>
      <c r="Q10" s="6">
        <f t="shared" si="3"/>
        <v>1.3682298874393872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-1.1582041647454057E-2</v>
      </c>
      <c r="I11" s="3">
        <f t="shared" ref="I11:P11" si="4">I13*(I10-J10)</f>
        <v>-1.8734079957256542E-2</v>
      </c>
      <c r="J11" s="3">
        <f t="shared" si="4"/>
        <v>-2.491547619513871E-2</v>
      </c>
      <c r="K11" s="3">
        <f t="shared" si="4"/>
        <v>-2.927104196555097E-2</v>
      </c>
      <c r="L11" s="3">
        <f t="shared" si="4"/>
        <v>-3.0831053631231058E-2</v>
      </c>
      <c r="M11" s="3">
        <f t="shared" si="4"/>
        <v>-2.8733155360282273E-2</v>
      </c>
      <c r="N11" s="3">
        <f t="shared" si="4"/>
        <v>-2.2670288881888406E-2</v>
      </c>
      <c r="O11" s="3">
        <f t="shared" si="4"/>
        <v>-1.3595465323413746E-2</v>
      </c>
      <c r="P11" s="3">
        <f t="shared" si="4"/>
        <v>-4.4549356265903622E-3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57.345999103135519</v>
      </c>
      <c r="H13" s="3">
        <f>((G6-H6)/H7+G5*H5)^0.5</f>
        <v>63.541424071804343</v>
      </c>
      <c r="I13" s="3">
        <f t="shared" ref="I13:Q13" si="5">((H6-I6)/I7+H5*I5)^0.5</f>
        <v>70.80714265616993</v>
      </c>
      <c r="J13" s="3">
        <f t="shared" si="5"/>
        <v>79.397771984047765</v>
      </c>
      <c r="K13" s="3">
        <f t="shared" si="5"/>
        <v>89.653220428711691</v>
      </c>
      <c r="L13" s="3">
        <f t="shared" si="5"/>
        <v>102.02980327193542</v>
      </c>
      <c r="M13" s="3">
        <f t="shared" si="5"/>
        <v>117.15193281912278</v>
      </c>
      <c r="N13" s="3">
        <f t="shared" si="5"/>
        <v>135.89287838336543</v>
      </c>
      <c r="O13" s="3">
        <f t="shared" si="5"/>
        <v>159.50484154612215</v>
      </c>
      <c r="P13" s="3">
        <f t="shared" si="5"/>
        <v>189.83576989662194</v>
      </c>
      <c r="Q13" s="3">
        <f t="shared" si="5"/>
        <v>229.70522138401481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133051.52605921644</v>
      </c>
      <c r="H14" s="3">
        <f>H6+H11</f>
        <v>132585.00887496024</v>
      </c>
      <c r="I14" s="3">
        <f t="shared" ref="I14:Q14" si="6">I6+I11</f>
        <v>131975.33222654188</v>
      </c>
      <c r="J14" s="3">
        <f t="shared" si="6"/>
        <v>131167.0237309454</v>
      </c>
      <c r="K14" s="3">
        <f t="shared" si="6"/>
        <v>130077.43846014728</v>
      </c>
      <c r="L14" s="3">
        <f t="shared" si="6"/>
        <v>128580.98395327538</v>
      </c>
      <c r="M14" s="3">
        <f t="shared" si="6"/>
        <v>126481.59628678391</v>
      </c>
      <c r="N14" s="3">
        <f t="shared" si="6"/>
        <v>123463.63627072446</v>
      </c>
      <c r="O14" s="3">
        <f t="shared" si="6"/>
        <v>119000.62894825015</v>
      </c>
      <c r="P14" s="3">
        <f t="shared" si="6"/>
        <v>112177.50418921013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286.52292133953767</v>
      </c>
      <c r="H17" s="3">
        <f t="shared" ref="H17:Q17" si="8">$C$11-(H13^2)/(2*$C$8)</f>
        <v>286.15008732921507</v>
      </c>
      <c r="I17" s="3">
        <f t="shared" si="8"/>
        <v>285.66415598808686</v>
      </c>
      <c r="J17" s="3">
        <f t="shared" si="8"/>
        <v>285.0218049601599</v>
      </c>
      <c r="K17" s="3">
        <f t="shared" si="8"/>
        <v>284.15875550914024</v>
      </c>
      <c r="L17" s="3">
        <f t="shared" si="8"/>
        <v>282.97776147166974</v>
      </c>
      <c r="M17" s="3">
        <f t="shared" si="8"/>
        <v>281.32777411227789</v>
      </c>
      <c r="N17" s="3">
        <f t="shared" si="8"/>
        <v>278.96701194976299</v>
      </c>
      <c r="O17" s="3">
        <f t="shared" si="8"/>
        <v>275.49482951182125</v>
      </c>
      <c r="P17" s="3">
        <f t="shared" si="8"/>
        <v>270.22012568088252</v>
      </c>
      <c r="Q17" s="3">
        <f t="shared" si="8"/>
        <v>261.89332898691794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339.28406696411446</v>
      </c>
      <c r="H18" s="3">
        <f t="shared" ref="H18:Q18" si="9">SQRT($C$7*$C$6*H17)</f>
        <v>339.06325074454071</v>
      </c>
      <c r="I18" s="3">
        <f t="shared" si="9"/>
        <v>338.77523498788776</v>
      </c>
      <c r="J18" s="3">
        <f t="shared" si="9"/>
        <v>338.39413171365396</v>
      </c>
      <c r="K18" s="3">
        <f t="shared" si="9"/>
        <v>337.88141254048969</v>
      </c>
      <c r="L18" s="3">
        <f t="shared" si="9"/>
        <v>337.17854592347243</v>
      </c>
      <c r="M18" s="3">
        <f t="shared" si="9"/>
        <v>336.19409808854175</v>
      </c>
      <c r="N18" s="3">
        <f t="shared" si="9"/>
        <v>334.78053989822394</v>
      </c>
      <c r="O18" s="3">
        <f t="shared" si="9"/>
        <v>332.69058162282397</v>
      </c>
      <c r="P18" s="3">
        <f t="shared" si="9"/>
        <v>329.49029404468337</v>
      </c>
      <c r="Q18" s="3">
        <f t="shared" si="9"/>
        <v>324.37397147189125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0.16902060746990785</v>
      </c>
      <c r="H19" s="3">
        <f t="shared" ref="H19:Q19" si="10">H13/H18</f>
        <v>0.18740286342526147</v>
      </c>
      <c r="I19" s="3">
        <f t="shared" si="10"/>
        <v>0.20900920534731973</v>
      </c>
      <c r="J19" s="3">
        <f t="shared" si="10"/>
        <v>0.23463105456933112</v>
      </c>
      <c r="K19" s="3">
        <f t="shared" si="10"/>
        <v>0.26533930870780936</v>
      </c>
      <c r="L19" s="3">
        <f t="shared" si="10"/>
        <v>0.30259874035726037</v>
      </c>
      <c r="M19" s="3">
        <f t="shared" si="10"/>
        <v>0.34846516784559695</v>
      </c>
      <c r="N19" s="3">
        <f t="shared" si="10"/>
        <v>0.40591630094353154</v>
      </c>
      <c r="O19" s="3">
        <f t="shared" si="10"/>
        <v>0.47943900536070794</v>
      </c>
      <c r="P19" s="3">
        <f t="shared" si="10"/>
        <v>0.57614980874331201</v>
      </c>
      <c r="Q19" s="3">
        <f t="shared" si="10"/>
        <v>0.70814936334655942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X23" s="1"/>
    </row>
    <row r="24" spans="1:24">
      <c r="A24" s="1"/>
      <c r="B24" s="1"/>
      <c r="C24" s="7"/>
      <c r="D24" s="7">
        <v>0</v>
      </c>
      <c r="E24" s="6">
        <v>2.5000000000000001E-2</v>
      </c>
      <c r="F24" s="7">
        <v>0.05</v>
      </c>
      <c r="G24" s="6">
        <v>7.4999999999999997E-2</v>
      </c>
      <c r="H24" s="7">
        <v>0.1</v>
      </c>
      <c r="I24" s="1"/>
      <c r="J24" s="1"/>
      <c r="K24" s="1"/>
      <c r="L24" s="1"/>
      <c r="M24" s="1"/>
      <c r="N24" s="1"/>
      <c r="O24" s="1"/>
      <c r="P24" s="1"/>
      <c r="Q24" s="1"/>
      <c r="X24" s="1"/>
    </row>
    <row r="25" spans="1:24">
      <c r="A25" s="1"/>
      <c r="B25" s="1"/>
      <c r="C25" s="7" t="s">
        <v>20</v>
      </c>
      <c r="D25" s="8">
        <v>62.6</v>
      </c>
      <c r="E25" s="7">
        <v>78.260000000000005</v>
      </c>
      <c r="F25" s="7">
        <v>106.77</v>
      </c>
      <c r="G25" s="7">
        <v>153.75</v>
      </c>
      <c r="H25" s="7">
        <v>238.13</v>
      </c>
      <c r="I25" s="1"/>
      <c r="J25" s="1"/>
      <c r="K25" s="1"/>
      <c r="L25" s="1"/>
      <c r="M25" s="1"/>
      <c r="N25" s="1"/>
      <c r="O25" s="1"/>
      <c r="P25" s="1"/>
      <c r="Q25" s="1"/>
      <c r="X25" s="1"/>
    </row>
    <row r="26" spans="1:24">
      <c r="A26" s="1"/>
      <c r="B26" s="1"/>
      <c r="C26" s="7" t="s">
        <v>21</v>
      </c>
      <c r="D26" s="5">
        <v>132552</v>
      </c>
      <c r="E26" s="5">
        <v>131334</v>
      </c>
      <c r="F26" s="5">
        <v>128213</v>
      </c>
      <c r="G26" s="5">
        <v>120941</v>
      </c>
      <c r="H26" s="5">
        <v>101336</v>
      </c>
      <c r="I26" s="1"/>
      <c r="J26" s="1"/>
      <c r="K26" s="1"/>
      <c r="L26" s="1"/>
      <c r="M26" s="1"/>
      <c r="N26" s="1"/>
      <c r="O26" s="1"/>
      <c r="P26" s="1"/>
      <c r="Q26" s="1"/>
    </row>
    <row r="27" spans="1:24">
      <c r="A27" s="1"/>
      <c r="B27" s="1"/>
      <c r="C27" s="7" t="s">
        <v>22</v>
      </c>
      <c r="D27" s="6">
        <v>1.375</v>
      </c>
      <c r="E27" s="7"/>
      <c r="F27" s="7"/>
      <c r="G27" s="7"/>
      <c r="H27" s="7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Y30"/>
  <sheetViews>
    <sheetView zoomScale="60" zoomScaleNormal="60" workbookViewId="0">
      <selection activeCell="O35" sqref="O35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41.952458170366562</v>
      </c>
      <c r="H5" s="9">
        <v>46.572722315258261</v>
      </c>
      <c r="I5" s="9">
        <v>51.998998595347025</v>
      </c>
      <c r="J5" s="9">
        <v>58.481574269464545</v>
      </c>
      <c r="K5" s="9">
        <v>66.327200919066215</v>
      </c>
      <c r="L5" s="9">
        <v>75.973877099938278</v>
      </c>
      <c r="M5" s="9">
        <v>88.075946290190913</v>
      </c>
      <c r="N5" s="9">
        <v>103.67585204999334</v>
      </c>
      <c r="O5" s="9">
        <v>124.60693830892183</v>
      </c>
      <c r="P5" s="9">
        <v>154.70189233611086</v>
      </c>
      <c r="Q5" s="9">
        <v>205.86732315098098</v>
      </c>
    </row>
    <row r="6" spans="2:17">
      <c r="B6" s="11" t="s">
        <v>7</v>
      </c>
      <c r="C6" s="11">
        <v>1.4</v>
      </c>
      <c r="F6" s="9" t="s">
        <v>8</v>
      </c>
      <c r="G6" s="9">
        <v>133574.20645422692</v>
      </c>
      <c r="H6" s="9">
        <v>133226.28716879166</v>
      </c>
      <c r="I6" s="9">
        <v>132771.1614403399</v>
      </c>
      <c r="J6" s="9">
        <v>132161.66801093385</v>
      </c>
      <c r="K6" s="9">
        <v>131328.88571868328</v>
      </c>
      <c r="L6" s="9">
        <v>130163.60851596277</v>
      </c>
      <c r="M6" s="9">
        <v>128484.90473201471</v>
      </c>
      <c r="N6" s="9">
        <v>125974.38540805619</v>
      </c>
      <c r="O6" s="9">
        <v>122019.7344116298</v>
      </c>
      <c r="P6" s="9">
        <v>115251.08218729163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1.6202120766536134</v>
      </c>
      <c r="H7" s="9">
        <v>1.617138055023114</v>
      </c>
      <c r="I7" s="9">
        <v>1.6131097716441272</v>
      </c>
      <c r="J7" s="9">
        <v>1.6077031930153689</v>
      </c>
      <c r="K7" s="9">
        <v>1.6002958497504662</v>
      </c>
      <c r="L7" s="9">
        <v>1.5898957190694107</v>
      </c>
      <c r="M7" s="9">
        <v>1.5748467970151123</v>
      </c>
      <c r="N7" s="9">
        <v>1.5522053888257903</v>
      </c>
      <c r="O7" s="9">
        <v>1.5162304142338905</v>
      </c>
      <c r="P7" s="9">
        <v>1.4538157117758432</v>
      </c>
      <c r="Q7" s="9">
        <v>1.3221013290732198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135000</v>
      </c>
      <c r="F10" s="9" t="s">
        <v>12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41.952134974927866</v>
      </c>
      <c r="H13" s="14">
        <f t="shared" ref="H13:Q13" si="5">((G6-H6)/H7+G5*H5)^0.5</f>
        <v>46.572365820758591</v>
      </c>
      <c r="I13" s="14">
        <f t="shared" si="5"/>
        <v>51.99881482550407</v>
      </c>
      <c r="J13" s="14">
        <f t="shared" si="5"/>
        <v>58.481548175462336</v>
      </c>
      <c r="K13" s="14">
        <f t="shared" si="5"/>
        <v>66.327308369234387</v>
      </c>
      <c r="L13" s="14">
        <f t="shared" si="5"/>
        <v>75.974083898539305</v>
      </c>
      <c r="M13" s="14">
        <f t="shared" si="5"/>
        <v>88.076208352825077</v>
      </c>
      <c r="N13" s="14">
        <f t="shared" si="5"/>
        <v>103.67611774994239</v>
      </c>
      <c r="O13" s="14">
        <f t="shared" si="5"/>
        <v>124.60715436719285</v>
      </c>
      <c r="P13" s="14">
        <f t="shared" si="5"/>
        <v>154.70201471594376</v>
      </c>
      <c r="Q13" s="14">
        <f t="shared" si="5"/>
        <v>205.86733253631789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133574.22825503966</v>
      </c>
      <c r="H14" s="16">
        <f>H6+H11</f>
        <v>133226.31357547204</v>
      </c>
      <c r="I14" s="16">
        <f t="shared" ref="I14:Q14" si="6">I6+I11</f>
        <v>132771.17449122321</v>
      </c>
      <c r="J14" s="16">
        <f t="shared" si="6"/>
        <v>132161.66616444036</v>
      </c>
      <c r="K14" s="16">
        <f t="shared" si="6"/>
        <v>131328.86819216813</v>
      </c>
      <c r="L14" s="16">
        <f t="shared" si="6"/>
        <v>130163.57592238429</v>
      </c>
      <c r="M14" s="16">
        <f t="shared" si="6"/>
        <v>128484.85993121493</v>
      </c>
      <c r="N14" s="16">
        <f t="shared" si="6"/>
        <v>125974.33447040808</v>
      </c>
      <c r="O14" s="16">
        <f t="shared" si="6"/>
        <v>122019.68731102513</v>
      </c>
      <c r="P14" s="16">
        <f t="shared" si="6"/>
        <v>115251.05222710465</v>
      </c>
      <c r="Q14" s="15">
        <f t="shared" si="6"/>
        <v>101325</v>
      </c>
    </row>
    <row r="15" spans="2:17">
      <c r="F15" s="9" t="s">
        <v>9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5">
      <c r="F17" s="9" t="s">
        <v>16</v>
      </c>
      <c r="G17" s="14">
        <f>$C$11-(G13^2)/(2*$C$8)</f>
        <v>287.28386418311703</v>
      </c>
      <c r="H17" s="14">
        <f t="shared" ref="H17:Q17" si="8">$C$11-(H13^2)/(2*$C$8)</f>
        <v>287.08025823469609</v>
      </c>
      <c r="I17" s="14">
        <f t="shared" si="8"/>
        <v>286.81398409833878</v>
      </c>
      <c r="J17" s="14">
        <f t="shared" si="8"/>
        <v>286.45744550129484</v>
      </c>
      <c r="K17" s="14">
        <f t="shared" si="8"/>
        <v>285.96998016950045</v>
      </c>
      <c r="L17" s="14">
        <f t="shared" si="8"/>
        <v>285.28661219423424</v>
      </c>
      <c r="M17" s="14">
        <f t="shared" si="8"/>
        <v>284.29828231889178</v>
      </c>
      <c r="N17" s="14">
        <f t="shared" si="8"/>
        <v>282.80917493443854</v>
      </c>
      <c r="O17" s="14">
        <f t="shared" si="8"/>
        <v>280.43053817229719</v>
      </c>
      <c r="P17" s="14">
        <f t="shared" si="8"/>
        <v>276.24606463701116</v>
      </c>
      <c r="Q17" s="14">
        <f t="shared" si="8"/>
        <v>267.06215123177077</v>
      </c>
    </row>
    <row r="18" spans="6:25">
      <c r="F18" s="9" t="s">
        <v>17</v>
      </c>
      <c r="G18" s="17">
        <f>SQRT($C$6*$C$7*G17)</f>
        <v>339.7343007429489</v>
      </c>
      <c r="H18" s="17">
        <f t="shared" ref="H18:Q18" si="9">SQRT($C$6*$C$7*H17)</f>
        <v>339.61388989936506</v>
      </c>
      <c r="I18" s="17">
        <f t="shared" si="9"/>
        <v>339.45635316272381</v>
      </c>
      <c r="J18" s="17">
        <f t="shared" si="9"/>
        <v>339.24529837649425</v>
      </c>
      <c r="K18" s="17">
        <f t="shared" si="9"/>
        <v>338.95652819924067</v>
      </c>
      <c r="L18" s="17">
        <f t="shared" si="9"/>
        <v>338.55129233905649</v>
      </c>
      <c r="M18" s="17">
        <f t="shared" si="9"/>
        <v>337.96435513684548</v>
      </c>
      <c r="N18" s="17">
        <f t="shared" si="9"/>
        <v>337.07809238958259</v>
      </c>
      <c r="O18" s="17">
        <f t="shared" si="9"/>
        <v>335.65755966540161</v>
      </c>
      <c r="P18" s="17">
        <f t="shared" si="9"/>
        <v>333.14387271180198</v>
      </c>
      <c r="Q18" s="17">
        <f t="shared" si="9"/>
        <v>327.55931299323061</v>
      </c>
    </row>
    <row r="19" spans="6:25">
      <c r="F19" s="9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5">
      <c r="F20" s="9" t="s">
        <v>23</v>
      </c>
      <c r="G20" s="9">
        <f>1-((($C$6-1)/($C$6+1))*G21^2)</f>
        <v>0.99704053956027028</v>
      </c>
      <c r="H20" s="9">
        <f t="shared" ref="H20:Q20" si="11">1-((($C$6-1)/($C$6+1))*H21^2)</f>
        <v>0.99637522452798677</v>
      </c>
      <c r="I20" s="9">
        <f t="shared" si="11"/>
        <v>0.99551738512144528</v>
      </c>
      <c r="J20" s="9">
        <f t="shared" si="11"/>
        <v>0.99438996137486713</v>
      </c>
      <c r="K20" s="9">
        <f t="shared" si="11"/>
        <v>0.99288656085264948</v>
      </c>
      <c r="L20" s="9">
        <f t="shared" si="11"/>
        <v>0.99084969708373349</v>
      </c>
      <c r="M20" s="9">
        <f t="shared" si="11"/>
        <v>0.98804110858762784</v>
      </c>
      <c r="N20" s="9">
        <f t="shared" si="11"/>
        <v>0.98408998256156943</v>
      </c>
      <c r="O20" s="9">
        <f t="shared" si="11"/>
        <v>0.97839276991627533</v>
      </c>
      <c r="P20" s="9">
        <f t="shared" si="11"/>
        <v>0.96986758176308718</v>
      </c>
      <c r="Q20" s="9">
        <f t="shared" si="11"/>
        <v>0.95586604237998785</v>
      </c>
    </row>
    <row r="21" spans="6:25">
      <c r="F21" s="9" t="s">
        <v>24</v>
      </c>
      <c r="G21" s="9">
        <f>SQRT(((($C$6+1)/2)*G19^2)/(1+2*G19^2))</f>
        <v>0.13325450325740634</v>
      </c>
      <c r="H21" s="9">
        <f>SQRT(((($C$6+1)/2)*H19^2)/(1+2*H19^2))</f>
        <v>0.14747424463979894</v>
      </c>
      <c r="I21" s="9">
        <f t="shared" ref="I21:Q21" si="12">SQRT(((($C$6+1)/2)*I19^2)/(1+2*I19^2))</f>
        <v>0.1639990526537525</v>
      </c>
      <c r="J21" s="9">
        <f t="shared" si="12"/>
        <v>0.18346724980442006</v>
      </c>
      <c r="K21" s="9">
        <f t="shared" si="12"/>
        <v>0.20659292070180635</v>
      </c>
      <c r="L21" s="9">
        <f t="shared" si="12"/>
        <v>0.23431136869046568</v>
      </c>
      <c r="M21" s="9">
        <f t="shared" si="12"/>
        <v>0.2678681550207731</v>
      </c>
      <c r="N21" s="9">
        <f t="shared" si="12"/>
        <v>0.30896618687258187</v>
      </c>
      <c r="O21" s="9">
        <f t="shared" si="12"/>
        <v>0.36006024565667927</v>
      </c>
      <c r="P21" s="9">
        <f t="shared" si="12"/>
        <v>0.42519937608312292</v>
      </c>
      <c r="Q21" s="9">
        <f t="shared" si="12"/>
        <v>0.51459085273649507</v>
      </c>
    </row>
    <row r="22" spans="6:25">
      <c r="F22" s="9" t="s">
        <v>25</v>
      </c>
      <c r="G22" s="9">
        <f>(1-((($C$6-1)/($C$6+1))*G21^2))^($C$6/($C$6-1))</f>
        <v>0.98968014980824814</v>
      </c>
      <c r="H22" s="9">
        <f t="shared" ref="H22:Q22" si="13">(1-((($C$6-1)/($C$6+1))*H21^2))^($C$6/($C$6-1))</f>
        <v>0.98737066482633495</v>
      </c>
      <c r="I22" s="9">
        <f t="shared" si="13"/>
        <v>0.98439856153413363</v>
      </c>
      <c r="J22" s="9">
        <f t="shared" si="13"/>
        <v>0.98050217118689553</v>
      </c>
      <c r="K22" s="9">
        <f t="shared" si="13"/>
        <v>0.97532355574748653</v>
      </c>
      <c r="L22" s="9">
        <f t="shared" si="13"/>
        <v>0.96833857597726203</v>
      </c>
      <c r="M22" s="9">
        <f t="shared" si="13"/>
        <v>0.95876583536247673</v>
      </c>
      <c r="N22" s="9">
        <f t="shared" si="13"/>
        <v>0.94541358470102099</v>
      </c>
      <c r="O22" s="9">
        <f t="shared" si="13"/>
        <v>0.92639525404761391</v>
      </c>
      <c r="P22" s="9">
        <f t="shared" si="13"/>
        <v>0.89844925072464876</v>
      </c>
      <c r="Q22" s="9">
        <f t="shared" si="13"/>
        <v>0.85386579544090735</v>
      </c>
    </row>
    <row r="23" spans="6:25">
      <c r="F23" s="9" t="s">
        <v>11</v>
      </c>
      <c r="G23" s="9">
        <f>G14/G22</f>
        <v>134967.06817947177</v>
      </c>
      <c r="H23" s="9">
        <f t="shared" ref="H23:Q23" si="14">H14/H22</f>
        <v>134930.39475596001</v>
      </c>
      <c r="I23" s="9">
        <f t="shared" si="14"/>
        <v>134875.42513705656</v>
      </c>
      <c r="J23" s="9">
        <f t="shared" si="14"/>
        <v>134789.77410571053</v>
      </c>
      <c r="K23" s="9">
        <f t="shared" si="14"/>
        <v>134651.5906626677</v>
      </c>
      <c r="L23" s="9">
        <f t="shared" si="14"/>
        <v>134419.48833962463</v>
      </c>
      <c r="M23" s="9">
        <f t="shared" si="14"/>
        <v>134010.67830357052</v>
      </c>
      <c r="N23" s="9">
        <f t="shared" si="14"/>
        <v>133247.85734938047</v>
      </c>
      <c r="O23" s="9">
        <f t="shared" si="14"/>
        <v>131714.4995917193</v>
      </c>
      <c r="P23" s="9">
        <f t="shared" si="14"/>
        <v>128277.7542906829</v>
      </c>
      <c r="Q23" s="9">
        <f t="shared" si="14"/>
        <v>118666.18916111893</v>
      </c>
      <c r="S23" s="19"/>
    </row>
    <row r="26" spans="6:25">
      <c r="T26" s="9"/>
      <c r="U26" s="9">
        <v>0</v>
      </c>
      <c r="V26" s="9">
        <v>2.5000000000000001E-2</v>
      </c>
      <c r="W26" s="9">
        <v>0.05</v>
      </c>
      <c r="X26" s="9">
        <v>7.4999999999999997E-2</v>
      </c>
      <c r="Y26" s="9">
        <v>0.1</v>
      </c>
    </row>
    <row r="27" spans="6:25">
      <c r="T27" s="9" t="s">
        <v>20</v>
      </c>
      <c r="U27" s="9">
        <v>46.31</v>
      </c>
      <c r="V27" s="9">
        <v>58.19</v>
      </c>
      <c r="W27" s="9">
        <v>80.48</v>
      </c>
      <c r="X27" s="9">
        <v>120.03</v>
      </c>
      <c r="Y27" s="9">
        <v>213.26</v>
      </c>
    </row>
    <row r="28" spans="6:25">
      <c r="T28" s="9" t="s">
        <v>21</v>
      </c>
      <c r="U28" s="9">
        <v>133165</v>
      </c>
      <c r="V28" s="9">
        <v>132230</v>
      </c>
      <c r="W28" s="9">
        <v>129765</v>
      </c>
      <c r="X28" s="9">
        <v>123565</v>
      </c>
      <c r="Y28" s="9">
        <v>101336</v>
      </c>
    </row>
    <row r="29" spans="6:25">
      <c r="T29" s="9" t="s">
        <v>22</v>
      </c>
      <c r="U29" s="9">
        <v>1.387</v>
      </c>
      <c r="V29" s="9"/>
      <c r="W29" s="9"/>
      <c r="X29" s="9"/>
      <c r="Y29" s="9"/>
    </row>
    <row r="30" spans="6:25">
      <c r="J30" s="18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1:AK25"/>
  <sheetViews>
    <sheetView zoomScale="70" zoomScaleNormal="70" workbookViewId="0">
      <selection sqref="A1:XFD104857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18.971455776311203</v>
      </c>
      <c r="H5" s="9">
        <v>21.02100357299863</v>
      </c>
      <c r="I5" s="9">
        <v>23.421546758241181</v>
      </c>
      <c r="J5" s="9">
        <v>26.258062964201336</v>
      </c>
      <c r="K5" s="9">
        <v>29.64288847989371</v>
      </c>
      <c r="L5" s="9">
        <v>33.727017423980747</v>
      </c>
      <c r="M5" s="9">
        <v>38.717237739351916</v>
      </c>
      <c r="N5" s="9">
        <v>44.902831075546345</v>
      </c>
      <c r="O5" s="9">
        <v>52.69846135557016</v>
      </c>
      <c r="P5" s="9">
        <v>62.715524642010273</v>
      </c>
      <c r="Q5" s="9">
        <v>75.88578525174664</v>
      </c>
    </row>
    <row r="6" spans="2:17">
      <c r="B6" s="11" t="s">
        <v>7</v>
      </c>
      <c r="C6" s="11">
        <v>1.4</v>
      </c>
      <c r="F6" s="9" t="s">
        <v>8</v>
      </c>
      <c r="G6" s="9">
        <v>104786.74969044352</v>
      </c>
      <c r="H6" s="9">
        <v>104735.69568468926</v>
      </c>
      <c r="I6" s="9">
        <v>104669.06973257133</v>
      </c>
      <c r="J6" s="9">
        <v>104580.80925100141</v>
      </c>
      <c r="K6" s="9">
        <v>104461.9110868548</v>
      </c>
      <c r="L6" s="9">
        <v>104298.68268516126</v>
      </c>
      <c r="M6" s="9">
        <v>104069.73174391234</v>
      </c>
      <c r="N6" s="9">
        <v>103740.59722115673</v>
      </c>
      <c r="O6" s="9">
        <v>103253.77822206651</v>
      </c>
      <c r="P6" s="9">
        <v>102509.33114784503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1.1850000000000001</v>
      </c>
      <c r="H7" s="9">
        <v>1.1850000000000001</v>
      </c>
      <c r="I7" s="9">
        <v>1.1850000000000001</v>
      </c>
      <c r="J7" s="9">
        <v>1.1850000000000001</v>
      </c>
      <c r="K7" s="9">
        <v>1.1850000000000001</v>
      </c>
      <c r="L7" s="9">
        <v>1.1850000000000001</v>
      </c>
      <c r="M7" s="9">
        <v>1.1850000000000001</v>
      </c>
      <c r="N7" s="9">
        <v>1.1850000000000001</v>
      </c>
      <c r="O7" s="9">
        <v>1.1850000000000001</v>
      </c>
      <c r="P7" s="9">
        <v>1.1850000000000001</v>
      </c>
      <c r="Q7" s="9">
        <v>1.1850000000000001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18.971455724631262</v>
      </c>
      <c r="H13" s="14">
        <f t="shared" ref="H13:Q13" si="5">((G6-H6)/H7+G5*H5)^0.5</f>
        <v>21.021003515972847</v>
      </c>
      <c r="I13" s="14">
        <f t="shared" si="5"/>
        <v>23.421546709326705</v>
      </c>
      <c r="J13" s="14">
        <f t="shared" si="5"/>
        <v>26.258062924428092</v>
      </c>
      <c r="K13" s="14">
        <f t="shared" si="5"/>
        <v>29.642888449763046</v>
      </c>
      <c r="L13" s="14">
        <f t="shared" si="5"/>
        <v>33.727017403258657</v>
      </c>
      <c r="M13" s="14">
        <f t="shared" si="5"/>
        <v>38.717237726899626</v>
      </c>
      <c r="N13" s="14">
        <f t="shared" si="5"/>
        <v>44.902831069280374</v>
      </c>
      <c r="O13" s="14">
        <f t="shared" si="5"/>
        <v>52.698461352696171</v>
      </c>
      <c r="P13" s="14">
        <f t="shared" si="5"/>
        <v>62.715524639686627</v>
      </c>
      <c r="Q13" s="14">
        <f t="shared" si="5"/>
        <v>75.885785248200023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104786.74969160535</v>
      </c>
      <c r="H14" s="9">
        <f>H6+H11</f>
        <v>104735.69568611095</v>
      </c>
      <c r="I14" s="9">
        <f t="shared" ref="I14:Q14" si="6">I6+I11</f>
        <v>104669.06973389479</v>
      </c>
      <c r="J14" s="9">
        <f t="shared" si="6"/>
        <v>104580.80925216197</v>
      </c>
      <c r="K14" s="9">
        <f t="shared" si="6"/>
        <v>104461.91108778602</v>
      </c>
      <c r="L14" s="9">
        <f t="shared" si="6"/>
        <v>104298.68268580665</v>
      </c>
      <c r="M14" s="9">
        <f t="shared" si="6"/>
        <v>104069.73174424389</v>
      </c>
      <c r="N14" s="9">
        <f t="shared" si="6"/>
        <v>103740.59722119931</v>
      </c>
      <c r="O14" s="9">
        <f t="shared" si="6"/>
        <v>103253.77822192019</v>
      </c>
      <c r="P14" s="9">
        <f t="shared" si="6"/>
        <v>102509.33114768284</v>
      </c>
      <c r="Q14" s="13">
        <f t="shared" si="6"/>
        <v>101325</v>
      </c>
    </row>
    <row r="15" spans="2:17">
      <c r="F15" s="9" t="s">
        <v>9</v>
      </c>
      <c r="G15" s="9">
        <v>1.1850000000000001</v>
      </c>
      <c r="H15" s="9">
        <v>1.1850000000000001</v>
      </c>
      <c r="I15" s="9">
        <v>1.1850000000000001</v>
      </c>
      <c r="J15" s="9">
        <v>1.1850000000000001</v>
      </c>
      <c r="K15" s="9">
        <v>1.1850000000000001</v>
      </c>
      <c r="L15" s="9">
        <v>1.1850000000000001</v>
      </c>
      <c r="M15" s="9">
        <v>1.1850000000000001</v>
      </c>
      <c r="N15" s="9">
        <v>1.1850000000000001</v>
      </c>
      <c r="O15" s="9">
        <v>1.1850000000000001</v>
      </c>
      <c r="P15" s="9">
        <v>1.1850000000000001</v>
      </c>
      <c r="Q15" s="9">
        <v>1.1850000000000001</v>
      </c>
    </row>
    <row r="17" spans="6:37">
      <c r="F17" s="9" t="s">
        <v>16</v>
      </c>
      <c r="G17" s="14">
        <f>$C$11-(G13^2)/(2*$C$8)</f>
        <v>287.9808302806095</v>
      </c>
      <c r="H17" s="14">
        <f t="shared" ref="H17:Q17" si="7">$C$11-(H13^2)/(2*$C$8)</f>
        <v>287.94002658860092</v>
      </c>
      <c r="I17" s="14">
        <f t="shared" si="7"/>
        <v>287.88691713945781</v>
      </c>
      <c r="J17" s="14">
        <f t="shared" si="7"/>
        <v>287.81676728965391</v>
      </c>
      <c r="K17" s="14">
        <f t="shared" si="7"/>
        <v>287.72257425545348</v>
      </c>
      <c r="L17" s="14">
        <f t="shared" si="7"/>
        <v>287.59373571140998</v>
      </c>
      <c r="M17" s="14">
        <f t="shared" si="7"/>
        <v>287.41377115830284</v>
      </c>
      <c r="N17" s="14">
        <f t="shared" si="7"/>
        <v>287.15628423036821</v>
      </c>
      <c r="O17" s="14">
        <f t="shared" si="7"/>
        <v>286.77751900192078</v>
      </c>
      <c r="P17" s="14">
        <f t="shared" si="7"/>
        <v>286.20199669910841</v>
      </c>
      <c r="Q17" s="14">
        <f t="shared" si="7"/>
        <v>285.29328733436085</v>
      </c>
    </row>
    <row r="18" spans="6:37">
      <c r="F18" s="9" t="s">
        <v>17</v>
      </c>
      <c r="G18" s="17">
        <f>SQRT($C$6*$C$7*G17)</f>
        <v>340.14615793538206</v>
      </c>
      <c r="H18" s="17">
        <f t="shared" ref="H18:Q18" si="8">SQRT($C$6*$C$7*H17)</f>
        <v>340.12205961133657</v>
      </c>
      <c r="I18" s="17">
        <f t="shared" si="8"/>
        <v>340.09069105090526</v>
      </c>
      <c r="J18" s="17">
        <f t="shared" si="8"/>
        <v>340.04925331443559</v>
      </c>
      <c r="K18" s="17">
        <f t="shared" si="8"/>
        <v>339.99360525005523</v>
      </c>
      <c r="L18" s="17">
        <f t="shared" si="8"/>
        <v>339.91747429987271</v>
      </c>
      <c r="M18" s="17">
        <f t="shared" si="8"/>
        <v>339.81110433824358</v>
      </c>
      <c r="N18" s="17">
        <f t="shared" si="8"/>
        <v>339.65885602677889</v>
      </c>
      <c r="O18" s="17">
        <f t="shared" si="8"/>
        <v>339.43477349297444</v>
      </c>
      <c r="P18" s="17">
        <f t="shared" si="8"/>
        <v>339.09400342004153</v>
      </c>
      <c r="Q18" s="17">
        <f t="shared" si="8"/>
        <v>338.5552530298159</v>
      </c>
    </row>
    <row r="19" spans="6:37">
      <c r="F19" s="9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2" spans="6:37">
      <c r="AF22" s="9"/>
      <c r="AG22" s="9"/>
      <c r="AH22" s="9"/>
      <c r="AI22" s="9"/>
      <c r="AJ22" s="9"/>
      <c r="AK22" s="9"/>
    </row>
    <row r="23" spans="6:37">
      <c r="AF23" s="9"/>
      <c r="AG23" s="9"/>
      <c r="AH23" s="9"/>
      <c r="AI23" s="9"/>
      <c r="AJ23" s="9"/>
      <c r="AK23" s="9"/>
    </row>
    <row r="24" spans="6:37">
      <c r="AF24" s="9"/>
      <c r="AG24" s="9"/>
      <c r="AH24" s="9"/>
      <c r="AI24" s="9"/>
      <c r="AJ24" s="9"/>
      <c r="AK24" s="9"/>
    </row>
    <row r="25" spans="6:37">
      <c r="AF25" s="9"/>
      <c r="AG25" s="9"/>
      <c r="AH25" s="9"/>
      <c r="AI25" s="9"/>
      <c r="AJ25" s="9"/>
      <c r="AK25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B1:AI31"/>
  <sheetViews>
    <sheetView zoomScale="70" zoomScaleNormal="70" workbookViewId="0">
      <selection activeCell="B24" sqref="B24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17.965677749011054</v>
      </c>
      <c r="H5" s="9">
        <v>19.913413805299584</v>
      </c>
      <c r="I5" s="9">
        <v>22.200045404994878</v>
      </c>
      <c r="J5" s="9">
        <v>24.90816735873263</v>
      </c>
      <c r="K5" s="9">
        <v>28.148271200498691</v>
      </c>
      <c r="L5" s="9">
        <v>32.070248179569305</v>
      </c>
      <c r="M5" s="9">
        <v>36.882190050039029</v>
      </c>
      <c r="N5" s="9">
        <v>42.881135090875794</v>
      </c>
      <c r="O5" s="9">
        <v>50.505904672857866</v>
      </c>
      <c r="P5" s="9">
        <v>60.433923409349447</v>
      </c>
      <c r="Q5" s="9">
        <v>73.774957760448117</v>
      </c>
    </row>
    <row r="6" spans="2:17">
      <c r="B6" s="11" t="s">
        <v>7</v>
      </c>
      <c r="C6" s="11">
        <v>1.4</v>
      </c>
      <c r="F6" s="9" t="s">
        <v>8</v>
      </c>
      <c r="G6" s="9">
        <v>104795.37046284738</v>
      </c>
      <c r="H6" s="9">
        <v>104746.20531791639</v>
      </c>
      <c r="I6" s="9">
        <v>104681.8857714749</v>
      </c>
      <c r="J6" s="9">
        <v>104596.46859521579</v>
      </c>
      <c r="K6" s="9">
        <v>104481.07197642179</v>
      </c>
      <c r="L6" s="9">
        <v>104322.10705669131</v>
      </c>
      <c r="M6" s="9">
        <v>104098.16192725667</v>
      </c>
      <c r="N6" s="9">
        <v>103774.30941407706</v>
      </c>
      <c r="O6" s="9">
        <v>103291.16099902632</v>
      </c>
      <c r="P6" s="9">
        <v>102542.43320918738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1.2679762066181028</v>
      </c>
      <c r="H7" s="9">
        <v>1.2675429764889037</v>
      </c>
      <c r="I7" s="9">
        <v>1.2669755575208037</v>
      </c>
      <c r="J7" s="9">
        <v>1.266221046615267</v>
      </c>
      <c r="K7" s="9">
        <v>1.2652002232214405</v>
      </c>
      <c r="L7" s="9">
        <v>1.2637915969220439</v>
      </c>
      <c r="M7" s="9">
        <v>1.2618031955055427</v>
      </c>
      <c r="N7" s="9">
        <v>1.2589207925658019</v>
      </c>
      <c r="O7" s="9">
        <v>1.2546077778956615</v>
      </c>
      <c r="P7" s="9">
        <v>1.2478984257538666</v>
      </c>
      <c r="Q7" s="9">
        <v>1.2369330813723052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105000</v>
      </c>
      <c r="F10" s="9" t="s">
        <v>12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17.96571550535436</v>
      </c>
      <c r="H13" s="14">
        <f t="shared" ref="H13:P13" si="5">((G6-H6)/H7+G5*H5)^0.5</f>
        <v>19.913455981592517</v>
      </c>
      <c r="I13" s="14">
        <f t="shared" si="5"/>
        <v>22.200110360834749</v>
      </c>
      <c r="J13" s="14">
        <f t="shared" si="5"/>
        <v>24.908247456591255</v>
      </c>
      <c r="K13" s="14">
        <f t="shared" si="5"/>
        <v>28.148357627262506</v>
      </c>
      <c r="L13" s="14">
        <f t="shared" si="5"/>
        <v>32.070331583152644</v>
      </c>
      <c r="M13" s="14">
        <f t="shared" si="5"/>
        <v>36.882261654019779</v>
      </c>
      <c r="N13" s="14">
        <f t="shared" si="5"/>
        <v>42.881188334412563</v>
      </c>
      <c r="O13" s="14">
        <f t="shared" si="5"/>
        <v>50.505937196002144</v>
      </c>
      <c r="P13" s="14">
        <f t="shared" si="5"/>
        <v>60.433938702113757</v>
      </c>
      <c r="Q13" s="14">
        <f>((P6-Q6)/Q7+P5*Q5)^0.5</f>
        <v>73.774964942658258</v>
      </c>
    </row>
    <row r="14" spans="2:17">
      <c r="B14" s="9" t="s">
        <v>15</v>
      </c>
      <c r="C14" s="9">
        <v>2000</v>
      </c>
      <c r="F14" s="9" t="s">
        <v>8</v>
      </c>
      <c r="G14" s="15">
        <f>C10-(G7*G13^2)/2</f>
        <v>104795.36960394381</v>
      </c>
      <c r="H14" s="16">
        <f>H6+H11</f>
        <v>104746.20422899675</v>
      </c>
      <c r="I14" s="16">
        <f t="shared" ref="I14:Q14" si="6">I6+I11</f>
        <v>104681.88384740002</v>
      </c>
      <c r="J14" s="16">
        <f t="shared" si="6"/>
        <v>104596.46592138089</v>
      </c>
      <c r="K14" s="16">
        <f t="shared" si="6"/>
        <v>104481.0687341094</v>
      </c>
      <c r="L14" s="16">
        <f t="shared" si="6"/>
        <v>104322.10354246786</v>
      </c>
      <c r="M14" s="16">
        <f t="shared" si="6"/>
        <v>104098.15855164286</v>
      </c>
      <c r="N14" s="16">
        <f t="shared" si="6"/>
        <v>103774.30665277598</v>
      </c>
      <c r="O14" s="16">
        <f t="shared" si="6"/>
        <v>103291.15925986697</v>
      </c>
      <c r="P14" s="16">
        <f t="shared" si="6"/>
        <v>102542.43258943266</v>
      </c>
      <c r="Q14" s="15">
        <f t="shared" si="6"/>
        <v>101325</v>
      </c>
    </row>
    <row r="15" spans="2:17">
      <c r="F15" s="9" t="s">
        <v>9</v>
      </c>
      <c r="G15" s="9">
        <f>G14/($C$7*G17)</f>
        <v>1.2679761991991174</v>
      </c>
      <c r="H15" s="9">
        <f t="shared" ref="H15:Q15" si="7">H14/($C$7*H17)</f>
        <v>1.267542966992526</v>
      </c>
      <c r="I15" s="9">
        <f t="shared" si="7"/>
        <v>1.2669755405513954</v>
      </c>
      <c r="J15" s="9">
        <f t="shared" si="7"/>
        <v>1.2662210229841522</v>
      </c>
      <c r="K15" s="9">
        <f t="shared" si="7"/>
        <v>1.2652001946082072</v>
      </c>
      <c r="L15" s="9">
        <f t="shared" si="7"/>
        <v>1.2637915660498549</v>
      </c>
      <c r="M15" s="9">
        <f t="shared" si="7"/>
        <v>1.2618031661293456</v>
      </c>
      <c r="N15" s="9">
        <f t="shared" si="7"/>
        <v>1.2589207690301487</v>
      </c>
      <c r="O15" s="9">
        <f t="shared" si="7"/>
        <v>1.2546077639231541</v>
      </c>
      <c r="P15" s="9">
        <f t="shared" si="7"/>
        <v>1.2478984222218048</v>
      </c>
      <c r="Q15" s="9">
        <f t="shared" si="7"/>
        <v>1.2369330836583028</v>
      </c>
    </row>
    <row r="17" spans="6:35">
      <c r="F17" s="9" t="s">
        <v>16</v>
      </c>
      <c r="G17" s="14">
        <f>$C$11-(G13^2)/(2*$C$8)</f>
        <v>287.99932350974746</v>
      </c>
      <c r="H17" s="14">
        <f t="shared" ref="H17:Q17" si="8">$C$11-(H13^2)/(2*$C$8)</f>
        <v>287.96259571429175</v>
      </c>
      <c r="I17" s="14">
        <f t="shared" si="8"/>
        <v>287.91465705892415</v>
      </c>
      <c r="J17" s="14">
        <f t="shared" si="8"/>
        <v>287.85114855069759</v>
      </c>
      <c r="K17" s="14">
        <f t="shared" si="8"/>
        <v>287.76557047136987</v>
      </c>
      <c r="L17" s="14">
        <f t="shared" si="8"/>
        <v>287.64799971731713</v>
      </c>
      <c r="M17" s="14">
        <f t="shared" si="8"/>
        <v>287.4828289403049</v>
      </c>
      <c r="N17" s="14">
        <f t="shared" si="8"/>
        <v>287.24462947382949</v>
      </c>
      <c r="O17" s="14">
        <f t="shared" si="8"/>
        <v>286.89016243924408</v>
      </c>
      <c r="P17" s="14">
        <f t="shared" si="8"/>
        <v>286.34186930154777</v>
      </c>
      <c r="Q17" s="14">
        <f t="shared" si="8"/>
        <v>285.45054885887572</v>
      </c>
    </row>
    <row r="18" spans="6:35">
      <c r="F18" s="9" t="s">
        <v>17</v>
      </c>
      <c r="G18" s="17">
        <f>SQRT($C$6*$C$7*G17)</f>
        <v>340.15707932179646</v>
      </c>
      <c r="H18" s="17">
        <f t="shared" ref="H18:Q18" si="9">SQRT($C$6*$C$7*H17)</f>
        <v>340.13538896188152</v>
      </c>
      <c r="I18" s="17">
        <f t="shared" si="9"/>
        <v>340.10707571545612</v>
      </c>
      <c r="J18" s="17">
        <f t="shared" si="9"/>
        <v>340.06956306415765</v>
      </c>
      <c r="K18" s="17">
        <f t="shared" si="9"/>
        <v>340.01900800548481</v>
      </c>
      <c r="L18" s="17">
        <f t="shared" si="9"/>
        <v>339.94954108636341</v>
      </c>
      <c r="M18" s="17">
        <f t="shared" si="9"/>
        <v>339.85192561072836</v>
      </c>
      <c r="N18" s="17">
        <f t="shared" si="9"/>
        <v>339.71110098598382</v>
      </c>
      <c r="O18" s="17">
        <f t="shared" si="9"/>
        <v>339.50143029701752</v>
      </c>
      <c r="P18" s="17">
        <f t="shared" si="9"/>
        <v>339.1768542870891</v>
      </c>
      <c r="Q18" s="17">
        <f t="shared" si="9"/>
        <v>338.64855066865556</v>
      </c>
    </row>
    <row r="19" spans="6:35">
      <c r="F19" s="9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35">
      <c r="F20" s="9" t="s">
        <v>23</v>
      </c>
      <c r="G20" s="9">
        <f>1-((($C$6-1)/($C$6+1))*G21^2)</f>
        <v>0.9994451906278492</v>
      </c>
      <c r="H20" s="9">
        <f t="shared" ref="H20:Q20" si="11">1-((($C$6-1)/($C$6+1))*H21^2)</f>
        <v>0.99931914815499334</v>
      </c>
      <c r="I20" s="9">
        <f t="shared" si="11"/>
        <v>0.99915506397534504</v>
      </c>
      <c r="J20" s="9">
        <f t="shared" si="11"/>
        <v>0.99893843679612382</v>
      </c>
      <c r="K20" s="9">
        <f t="shared" si="11"/>
        <v>0.99864787310904413</v>
      </c>
      <c r="L20" s="9">
        <f t="shared" si="11"/>
        <v>0.99825117746287018</v>
      </c>
      <c r="M20" s="9">
        <f t="shared" si="11"/>
        <v>0.99769869398315969</v>
      </c>
      <c r="N20" s="9">
        <f t="shared" si="11"/>
        <v>0.99691169398586221</v>
      </c>
      <c r="O20" s="9">
        <f t="shared" si="11"/>
        <v>0.99576140279709935</v>
      </c>
      <c r="P20" s="9">
        <f t="shared" si="11"/>
        <v>0.9940295930298334</v>
      </c>
      <c r="Q20" s="9">
        <f t="shared" si="11"/>
        <v>0.99133102212098823</v>
      </c>
    </row>
    <row r="21" spans="6:35">
      <c r="F21" s="9" t="s">
        <v>24</v>
      </c>
      <c r="G21" s="9">
        <f>SQRT(((($C$6+1)/2)*G19^2)/(1+2*G19^2))</f>
        <v>5.7696241063908013E-2</v>
      </c>
      <c r="H21" s="9">
        <f>SQRT(((($C$6+1)/2)*H19^2)/(1+2*H19^2))</f>
        <v>6.3914873621400858E-2</v>
      </c>
      <c r="I21" s="9">
        <f t="shared" ref="I21:Q21" si="12">SQRT(((($C$6+1)/2)*I19^2)/(1+2*I19^2))</f>
        <v>7.1201236983141639E-2</v>
      </c>
      <c r="J21" s="9">
        <f t="shared" si="12"/>
        <v>7.9808390682038655E-2</v>
      </c>
      <c r="K21" s="9">
        <f t="shared" si="12"/>
        <v>9.007086846331129E-2</v>
      </c>
      <c r="L21" s="9">
        <f t="shared" si="12"/>
        <v>0.10243502927601809</v>
      </c>
      <c r="M21" s="9">
        <f t="shared" si="12"/>
        <v>0.11750674917229943</v>
      </c>
      <c r="N21" s="9">
        <f t="shared" si="12"/>
        <v>0.13612434053036448</v>
      </c>
      <c r="O21" s="9">
        <f t="shared" si="12"/>
        <v>0.15947282908823032</v>
      </c>
      <c r="P21" s="9">
        <f t="shared" si="12"/>
        <v>0.18926817434793303</v>
      </c>
      <c r="Q21" s="9">
        <f t="shared" si="12"/>
        <v>0.22806548900276599</v>
      </c>
    </row>
    <row r="22" spans="6:35">
      <c r="F22" s="9" t="s">
        <v>25</v>
      </c>
      <c r="G22" s="9">
        <f>(1-((($C$6-1)/($C$6+1))*G21^2))^($C$6/($C$6-1))</f>
        <v>0.99805951350771915</v>
      </c>
      <c r="H22" s="9">
        <f t="shared" ref="H22:Q22" si="13">(1-((($C$6-1)/($C$6+1))*H21^2))^($C$6/($C$6-1))</f>
        <v>0.99761904592377981</v>
      </c>
      <c r="I22" s="9">
        <f t="shared" si="13"/>
        <v>0.99704584598069135</v>
      </c>
      <c r="J22" s="9">
        <f t="shared" si="13"/>
        <v>0.99628945642929645</v>
      </c>
      <c r="K22" s="9">
        <f t="shared" si="13"/>
        <v>0.99527554905621063</v>
      </c>
      <c r="L22" s="9">
        <f t="shared" si="13"/>
        <v>0.99389248983628464</v>
      </c>
      <c r="M22" s="9">
        <f t="shared" si="13"/>
        <v>0.99196857232910385</v>
      </c>
      <c r="N22" s="9">
        <f t="shared" si="13"/>
        <v>0.98923259169120825</v>
      </c>
      <c r="O22" s="9">
        <f t="shared" si="13"/>
        <v>0.98524334326618301</v>
      </c>
      <c r="P22" s="9">
        <f t="shared" si="13"/>
        <v>0.97925906060631596</v>
      </c>
      <c r="Q22" s="9">
        <f t="shared" si="13"/>
        <v>0.96998594024949014</v>
      </c>
    </row>
    <row r="23" spans="6:35">
      <c r="F23" s="9" t="s">
        <v>11</v>
      </c>
      <c r="G23" s="9">
        <f>G14/G22</f>
        <v>104999.11897601816</v>
      </c>
      <c r="H23" s="9">
        <f t="shared" ref="H23:Q23" si="14">H14/H22</f>
        <v>104996.19534829889</v>
      </c>
      <c r="I23" s="9">
        <f t="shared" si="14"/>
        <v>104992.04652363325</v>
      </c>
      <c r="J23" s="9">
        <f t="shared" si="14"/>
        <v>104986.02112708775</v>
      </c>
      <c r="K23" s="9">
        <f t="shared" si="14"/>
        <v>104977.02755099892</v>
      </c>
      <c r="L23" s="9">
        <f t="shared" si="14"/>
        <v>104963.16715266854</v>
      </c>
      <c r="M23" s="9">
        <f t="shared" si="14"/>
        <v>104940.9844781921</v>
      </c>
      <c r="N23" s="9">
        <f t="shared" si="14"/>
        <v>104903.84923060585</v>
      </c>
      <c r="O23" s="9">
        <f t="shared" si="14"/>
        <v>104838.22089824647</v>
      </c>
      <c r="P23" s="9">
        <f t="shared" si="14"/>
        <v>104714.30565671019</v>
      </c>
      <c r="Q23" s="9">
        <f t="shared" si="14"/>
        <v>104460.27699529148</v>
      </c>
    </row>
    <row r="28" spans="6:35">
      <c r="AD28" s="9"/>
      <c r="AE28" s="9">
        <v>0</v>
      </c>
      <c r="AF28" s="9">
        <v>2.5000000000000001E-2</v>
      </c>
      <c r="AG28" s="9">
        <v>0.05</v>
      </c>
      <c r="AH28" s="9">
        <v>7.4999999999999997E-2</v>
      </c>
      <c r="AI28" s="9">
        <v>0.1</v>
      </c>
    </row>
    <row r="29" spans="6:35">
      <c r="AD29" s="9" t="s">
        <v>20</v>
      </c>
      <c r="AE29" s="9"/>
      <c r="AF29" s="9"/>
      <c r="AG29" s="9"/>
      <c r="AH29" s="9"/>
      <c r="AI29" s="9"/>
    </row>
    <row r="30" spans="6:35">
      <c r="AD30" s="9" t="s">
        <v>21</v>
      </c>
      <c r="AE30" s="9"/>
      <c r="AF30" s="9"/>
      <c r="AG30" s="9"/>
      <c r="AH30" s="9"/>
      <c r="AI30" s="9"/>
    </row>
    <row r="31" spans="6:35">
      <c r="AD31" s="9" t="s">
        <v>22</v>
      </c>
      <c r="AE31" s="9"/>
      <c r="AF31" s="9"/>
      <c r="AG31" s="9"/>
      <c r="AH31" s="9"/>
      <c r="AI31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X56"/>
  <sheetViews>
    <sheetView zoomScale="70" zoomScaleNormal="70" workbookViewId="0">
      <selection activeCell="O32" sqref="O32"/>
    </sheetView>
  </sheetViews>
  <sheetFormatPr defaultRowHeight="15"/>
  <sheetData>
    <row r="1" spans="1:24">
      <c r="A1" s="2"/>
      <c r="B1" s="2"/>
      <c r="C1" s="2"/>
      <c r="D1" s="2"/>
      <c r="E1" s="2"/>
      <c r="F1" s="3" t="s">
        <v>0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  <c r="R1" s="2"/>
      <c r="S1" s="2"/>
      <c r="T1" s="1"/>
      <c r="U1" s="1"/>
      <c r="V1" s="1"/>
      <c r="W1" s="1"/>
      <c r="X1" s="1"/>
    </row>
    <row r="2" spans="1:24">
      <c r="A2" s="2"/>
      <c r="B2" s="2"/>
      <c r="C2" s="2"/>
      <c r="D2" s="2"/>
      <c r="E2" s="2"/>
      <c r="F2" s="3" t="s">
        <v>1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  <c r="R2" s="2"/>
      <c r="S2" s="2"/>
      <c r="T2" s="1"/>
      <c r="U2" s="1"/>
      <c r="V2" s="1"/>
      <c r="W2" s="1"/>
      <c r="X2" s="1"/>
    </row>
    <row r="3" spans="1:24">
      <c r="A3" s="2"/>
      <c r="B3" s="3" t="s">
        <v>2</v>
      </c>
      <c r="C3" s="3">
        <v>0.1</v>
      </c>
      <c r="D3" s="2"/>
      <c r="E3" s="2"/>
      <c r="F3" s="3" t="s">
        <v>3</v>
      </c>
      <c r="G3" s="20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20">
        <v>0.04</v>
      </c>
      <c r="R3" s="2"/>
      <c r="S3" s="2"/>
      <c r="T3" s="1"/>
      <c r="U3" s="1"/>
      <c r="V3" s="1"/>
      <c r="W3" s="1"/>
      <c r="X3" s="1"/>
    </row>
    <row r="4" spans="1:24">
      <c r="A4" s="2"/>
      <c r="B4" s="3" t="s">
        <v>4</v>
      </c>
      <c r="C4" s="3">
        <f>C3/10</f>
        <v>0.01</v>
      </c>
      <c r="D4" s="2"/>
      <c r="E4" s="2"/>
      <c r="F4" s="3" t="s">
        <v>5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7">
        <f t="shared" si="2"/>
        <v>5.0265482457436689E-3</v>
      </c>
      <c r="R4" s="2"/>
      <c r="S4" s="2"/>
      <c r="T4" s="1"/>
      <c r="U4" s="1"/>
      <c r="V4" s="1"/>
      <c r="W4" s="1"/>
      <c r="X4" s="1"/>
    </row>
    <row r="5" spans="1:24">
      <c r="A5" s="2"/>
      <c r="B5" s="2"/>
      <c r="C5" s="2"/>
      <c r="D5" s="2"/>
      <c r="E5" s="2"/>
      <c r="F5" s="3" t="s">
        <v>6</v>
      </c>
      <c r="G5" s="3">
        <v>106.77346521740971</v>
      </c>
      <c r="H5" s="3">
        <v>118.30880602632858</v>
      </c>
      <c r="I5" s="3">
        <v>131.83543684838898</v>
      </c>
      <c r="J5" s="3">
        <v>147.82577804181702</v>
      </c>
      <c r="K5" s="3">
        <v>166.91248036802023</v>
      </c>
      <c r="L5" s="3">
        <v>189.94514290211384</v>
      </c>
      <c r="M5" s="3">
        <v>218.08663139815965</v>
      </c>
      <c r="N5" s="3">
        <v>252.96346633415229</v>
      </c>
      <c r="O5" s="3">
        <v>296.90787671612031</v>
      </c>
      <c r="P5" s="3">
        <v>353.36103997023986</v>
      </c>
      <c r="Q5" s="3">
        <v>427.57197830846815</v>
      </c>
      <c r="R5" s="2"/>
      <c r="S5" s="2"/>
      <c r="T5" s="1"/>
      <c r="U5" s="1"/>
      <c r="V5" s="1"/>
      <c r="W5" s="1"/>
      <c r="X5" s="1"/>
    </row>
    <row r="6" spans="1:24">
      <c r="A6" s="2"/>
      <c r="B6" s="20" t="s">
        <v>7</v>
      </c>
      <c r="C6" s="20">
        <v>1.4</v>
      </c>
      <c r="D6" s="2"/>
      <c r="E6" s="2"/>
      <c r="F6" s="3" t="s">
        <v>8</v>
      </c>
      <c r="G6" s="3">
        <v>211245.16057183896</v>
      </c>
      <c r="H6" s="3">
        <v>209627.88029721737</v>
      </c>
      <c r="I6" s="3">
        <v>207514.57687025546</v>
      </c>
      <c r="J6" s="3">
        <v>204713.35765700546</v>
      </c>
      <c r="K6" s="3">
        <v>200938.0193143356</v>
      </c>
      <c r="L6" s="3">
        <v>195753.54995743209</v>
      </c>
      <c r="M6" s="3">
        <v>188480.7162976643</v>
      </c>
      <c r="N6" s="3">
        <v>178025.8488447472</v>
      </c>
      <c r="O6" s="3">
        <v>162564.54158267644</v>
      </c>
      <c r="P6" s="3">
        <v>138925.69777259091</v>
      </c>
      <c r="Q6" s="3">
        <v>101325</v>
      </c>
      <c r="R6" s="2"/>
      <c r="S6" s="2"/>
      <c r="T6" s="1"/>
      <c r="U6" s="1"/>
      <c r="V6" s="1"/>
      <c r="W6" s="1"/>
      <c r="X6" s="1"/>
    </row>
    <row r="7" spans="1:24">
      <c r="A7" s="2"/>
      <c r="B7" s="20" t="s">
        <v>3</v>
      </c>
      <c r="C7" s="20">
        <v>286.97199999999998</v>
      </c>
      <c r="D7" s="2"/>
      <c r="E7" s="2"/>
      <c r="F7" s="3" t="s">
        <v>9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  <c r="R7" s="2"/>
      <c r="S7" s="2"/>
      <c r="T7" s="1"/>
      <c r="U7" s="1"/>
      <c r="V7" s="1"/>
      <c r="W7" s="1"/>
      <c r="X7" s="1"/>
    </row>
    <row r="8" spans="1:24">
      <c r="A8" s="2"/>
      <c r="B8" s="20" t="s">
        <v>10</v>
      </c>
      <c r="C8" s="20">
        <v>1004.4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1"/>
      <c r="U8" s="1"/>
      <c r="V8" s="1"/>
      <c r="W8" s="1"/>
      <c r="X8" s="1"/>
    </row>
    <row r="9" spans="1:24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1"/>
      <c r="U9" s="1"/>
      <c r="V9" s="1"/>
      <c r="W9" s="1"/>
      <c r="X9" s="1"/>
    </row>
    <row r="10" spans="1:24">
      <c r="A10" s="2"/>
      <c r="B10" s="21" t="s">
        <v>11</v>
      </c>
      <c r="C10" s="21">
        <v>218000</v>
      </c>
      <c r="D10" s="2"/>
      <c r="E10" s="2"/>
      <c r="F10" s="3" t="s">
        <v>12</v>
      </c>
      <c r="G10" s="6">
        <f>G4*G7*G13</f>
        <v>2.5439728909582437</v>
      </c>
      <c r="H10" s="6">
        <f t="shared" ref="H10:Q10" si="3">H4*H7*H13</f>
        <v>2.5439784418729214</v>
      </c>
      <c r="I10" s="6">
        <f t="shared" si="3"/>
        <v>2.544289303683049</v>
      </c>
      <c r="J10" s="6">
        <f t="shared" si="3"/>
        <v>2.5447044495398883</v>
      </c>
      <c r="K10" s="6">
        <f t="shared" si="3"/>
        <v>2.5451770625558776</v>
      </c>
      <c r="L10" s="6">
        <f t="shared" si="3"/>
        <v>2.5456561547186798</v>
      </c>
      <c r="M10" s="6">
        <f t="shared" si="3"/>
        <v>2.5460909585667735</v>
      </c>
      <c r="N10" s="7">
        <f t="shared" si="3"/>
        <v>2.5464378453092893</v>
      </c>
      <c r="O10" s="6">
        <f t="shared" si="3"/>
        <v>2.5466695876878793</v>
      </c>
      <c r="P10" s="6">
        <f t="shared" si="3"/>
        <v>2.5467851863366322</v>
      </c>
      <c r="Q10" s="6">
        <f t="shared" si="3"/>
        <v>2.5468154468156907</v>
      </c>
      <c r="R10" s="2"/>
      <c r="S10" s="2"/>
      <c r="T10" s="1"/>
      <c r="U10" s="1"/>
      <c r="V10" s="1"/>
      <c r="W10" s="1"/>
      <c r="X10" s="1"/>
    </row>
    <row r="11" spans="1:24">
      <c r="A11" s="2"/>
      <c r="B11" s="21" t="s">
        <v>13</v>
      </c>
      <c r="C11" s="21">
        <v>288.16000000000003</v>
      </c>
      <c r="D11" s="2"/>
      <c r="E11" s="2"/>
      <c r="F11" s="3" t="s">
        <v>14</v>
      </c>
      <c r="G11" s="3">
        <v>0</v>
      </c>
      <c r="H11" s="3">
        <f>H13*(H10-I10)</f>
        <v>-3.6777769843794411E-2</v>
      </c>
      <c r="I11" s="3">
        <f t="shared" ref="I11:P11" si="4">I13*(I10-J10)</f>
        <v>-5.4731075735119435E-2</v>
      </c>
      <c r="J11" s="3">
        <f t="shared" si="4"/>
        <v>-6.9864568143776118E-2</v>
      </c>
      <c r="K11" s="3">
        <f t="shared" si="4"/>
        <v>-7.9966648796752193E-2</v>
      </c>
      <c r="L11" s="3">
        <f t="shared" si="4"/>
        <v>-8.258903614960536E-2</v>
      </c>
      <c r="M11" s="3">
        <f t="shared" si="4"/>
        <v>-7.5651464494586471E-2</v>
      </c>
      <c r="N11" s="3">
        <f t="shared" si="4"/>
        <v>-5.8622404806882883E-2</v>
      </c>
      <c r="O11" s="3">
        <f t="shared" si="4"/>
        <v>-3.4322163971628912E-2</v>
      </c>
      <c r="P11" s="3">
        <f t="shared" si="4"/>
        <v>-1.0692876188031671E-2</v>
      </c>
      <c r="Q11" s="23">
        <v>0</v>
      </c>
      <c r="R11" s="2"/>
      <c r="S11" s="2"/>
      <c r="T11" s="1"/>
      <c r="U11" s="1"/>
      <c r="V11" s="1"/>
      <c r="W11" s="1"/>
      <c r="X11" s="1"/>
    </row>
    <row r="12" spans="1:24">
      <c r="A12" s="2"/>
      <c r="B12" s="21" t="s">
        <v>8</v>
      </c>
      <c r="C12" s="21">
        <v>101325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1"/>
      <c r="U12" s="1"/>
      <c r="V12" s="1"/>
      <c r="W12" s="1"/>
      <c r="X12" s="1"/>
    </row>
    <row r="13" spans="1:24">
      <c r="A13" s="2"/>
      <c r="B13" s="2"/>
      <c r="C13" s="2"/>
      <c r="D13" s="2"/>
      <c r="E13" s="2"/>
      <c r="F13" s="3" t="s">
        <v>6</v>
      </c>
      <c r="G13" s="23">
        <f>(H4*H5*H7)/(G4*G7)</f>
        <v>106.77369743876154</v>
      </c>
      <c r="H13" s="3">
        <f>((G6-H6)/H7+G5*H5)^0.5</f>
        <v>118.30906417455424</v>
      </c>
      <c r="I13" s="3">
        <f t="shared" ref="I13:Q13" si="5">((H6-I6)/I7+H5*I5)^0.5</f>
        <v>131.83577490525659</v>
      </c>
      <c r="J13" s="3">
        <f t="shared" si="5"/>
        <v>147.82616174361391</v>
      </c>
      <c r="K13" s="3">
        <f t="shared" si="5"/>
        <v>166.9128718972006</v>
      </c>
      <c r="L13" s="3">
        <f t="shared" si="5"/>
        <v>189.9455041893037</v>
      </c>
      <c r="M13" s="3">
        <f t="shared" si="5"/>
        <v>218.08692931277685</v>
      </c>
      <c r="N13" s="3">
        <f t="shared" si="5"/>
        <v>252.96367959781344</v>
      </c>
      <c r="O13" s="3">
        <f t="shared" si="5"/>
        <v>296.90800318091112</v>
      </c>
      <c r="P13" s="3">
        <f t="shared" si="5"/>
        <v>353.36110070674175</v>
      </c>
      <c r="Q13" s="3">
        <f t="shared" si="5"/>
        <v>427.57201213450554</v>
      </c>
      <c r="R13" s="2"/>
      <c r="S13" s="2"/>
      <c r="T13" s="1"/>
      <c r="U13" s="1"/>
      <c r="V13" s="1"/>
      <c r="W13" s="1"/>
      <c r="X13" s="1"/>
    </row>
    <row r="14" spans="1:24">
      <c r="A14" s="2"/>
      <c r="B14" s="3" t="s">
        <v>15</v>
      </c>
      <c r="C14" s="3">
        <v>2000</v>
      </c>
      <c r="D14" s="2">
        <v>2000</v>
      </c>
      <c r="E14" s="2"/>
      <c r="F14" s="3" t="s">
        <v>8</v>
      </c>
      <c r="G14" s="23">
        <f>C10-(G7*G13^2)/2</f>
        <v>211245.13118963907</v>
      </c>
      <c r="H14" s="3">
        <f>H6+H11</f>
        <v>209627.84351944752</v>
      </c>
      <c r="I14" s="3">
        <f t="shared" ref="I14:Q14" si="6">I6+I11</f>
        <v>207514.52213917972</v>
      </c>
      <c r="J14" s="3">
        <f t="shared" si="6"/>
        <v>204713.2877924373</v>
      </c>
      <c r="K14" s="3">
        <f t="shared" si="6"/>
        <v>200937.9393476868</v>
      </c>
      <c r="L14" s="3">
        <f t="shared" si="6"/>
        <v>195753.46736839594</v>
      </c>
      <c r="M14" s="3">
        <f t="shared" si="6"/>
        <v>188480.64064619981</v>
      </c>
      <c r="N14" s="3">
        <f t="shared" si="6"/>
        <v>178025.79022234239</v>
      </c>
      <c r="O14" s="3">
        <f t="shared" si="6"/>
        <v>162564.50726051247</v>
      </c>
      <c r="P14" s="3">
        <f t="shared" si="6"/>
        <v>138925.68707971473</v>
      </c>
      <c r="Q14" s="23">
        <f t="shared" si="6"/>
        <v>101325</v>
      </c>
      <c r="R14" s="2"/>
      <c r="S14" s="2"/>
      <c r="T14" s="1"/>
      <c r="U14" s="1"/>
      <c r="V14" s="1"/>
      <c r="W14" s="1"/>
      <c r="X14" s="1"/>
    </row>
    <row r="15" spans="1:24">
      <c r="A15" s="2"/>
      <c r="B15" s="2"/>
      <c r="C15" s="2"/>
      <c r="D15" s="2"/>
      <c r="E15" s="2"/>
      <c r="F15" s="3" t="s">
        <v>9</v>
      </c>
      <c r="G15" s="3">
        <f>1.185</f>
        <v>1.1850000000000001</v>
      </c>
      <c r="H15" s="3">
        <f t="shared" ref="H15:Q15" si="7">1.185</f>
        <v>1.1850000000000001</v>
      </c>
      <c r="I15" s="3">
        <f t="shared" si="7"/>
        <v>1.1850000000000001</v>
      </c>
      <c r="J15" s="3">
        <f t="shared" si="7"/>
        <v>1.1850000000000001</v>
      </c>
      <c r="K15" s="3">
        <f t="shared" si="7"/>
        <v>1.1850000000000001</v>
      </c>
      <c r="L15" s="3">
        <f t="shared" si="7"/>
        <v>1.1850000000000001</v>
      </c>
      <c r="M15" s="3">
        <f t="shared" si="7"/>
        <v>1.1850000000000001</v>
      </c>
      <c r="N15" s="3">
        <f t="shared" si="7"/>
        <v>1.1850000000000001</v>
      </c>
      <c r="O15" s="3">
        <f t="shared" si="7"/>
        <v>1.1850000000000001</v>
      </c>
      <c r="P15" s="3">
        <f t="shared" si="7"/>
        <v>1.1850000000000001</v>
      </c>
      <c r="Q15" s="3">
        <f t="shared" si="7"/>
        <v>1.1850000000000001</v>
      </c>
      <c r="R15" s="4"/>
      <c r="S15" s="2"/>
      <c r="T15" s="1"/>
      <c r="U15" s="1"/>
      <c r="V15" s="1" t="s">
        <v>19</v>
      </c>
      <c r="W15" s="1"/>
      <c r="X15" s="1"/>
    </row>
    <row r="16" spans="1:24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1"/>
      <c r="U16" s="1"/>
      <c r="V16" s="1"/>
      <c r="W16" s="1"/>
      <c r="X16" s="1"/>
    </row>
    <row r="17" spans="1:24">
      <c r="A17" s="2"/>
      <c r="B17" s="2"/>
      <c r="C17" s="2"/>
      <c r="D17" s="2"/>
      <c r="E17" s="2"/>
      <c r="F17" s="3" t="s">
        <v>16</v>
      </c>
      <c r="G17" s="3">
        <f>$C$11-(G13^2)/(2*$C$8)</f>
        <v>282.48466026247303</v>
      </c>
      <c r="H17" s="3">
        <f t="shared" ref="H17:Q17" si="8">$C$11-(H13^2)/(2*$C$8)</f>
        <v>281.19214124559005</v>
      </c>
      <c r="I17" s="3">
        <f t="shared" si="8"/>
        <v>279.50773419709805</v>
      </c>
      <c r="J17" s="3">
        <f t="shared" si="8"/>
        <v>277.28157800883662</v>
      </c>
      <c r="K17" s="3">
        <f t="shared" si="8"/>
        <v>274.29106988999837</v>
      </c>
      <c r="L17" s="3">
        <f t="shared" si="8"/>
        <v>270.19937944955757</v>
      </c>
      <c r="M17" s="3">
        <f t="shared" si="8"/>
        <v>264.48322344828949</v>
      </c>
      <c r="N17" s="3">
        <f t="shared" si="8"/>
        <v>256.30485105751438</v>
      </c>
      <c r="O17" s="3">
        <f t="shared" si="8"/>
        <v>244.27590882473322</v>
      </c>
      <c r="P17" s="3">
        <f t="shared" si="8"/>
        <v>226.00146381288329</v>
      </c>
      <c r="Q17" s="3">
        <f t="shared" si="8"/>
        <v>197.15152451177335</v>
      </c>
      <c r="R17" s="2"/>
      <c r="S17" s="2"/>
      <c r="T17" s="1"/>
      <c r="U17" s="1"/>
      <c r="V17" s="1"/>
      <c r="W17" s="1"/>
      <c r="X17" s="1"/>
    </row>
    <row r="18" spans="1:24">
      <c r="A18" s="2"/>
      <c r="B18" s="2"/>
      <c r="C18" s="2"/>
      <c r="D18" s="2"/>
      <c r="E18" s="2"/>
      <c r="F18" s="3" t="s">
        <v>17</v>
      </c>
      <c r="G18" s="3">
        <f>SQRT($C$7*$C$6*G17)</f>
        <v>336.88464360190028</v>
      </c>
      <c r="H18" s="3">
        <f t="shared" ref="H18:Q18" si="9">SQRT($C$7*$C$6*H17)</f>
        <v>336.11304589459371</v>
      </c>
      <c r="I18" s="3">
        <f t="shared" si="9"/>
        <v>335.10483568163181</v>
      </c>
      <c r="J18" s="3">
        <f t="shared" si="9"/>
        <v>333.76768658168902</v>
      </c>
      <c r="K18" s="3">
        <f t="shared" si="9"/>
        <v>331.96294924563739</v>
      </c>
      <c r="L18" s="3">
        <f t="shared" si="9"/>
        <v>329.47764544375053</v>
      </c>
      <c r="M18" s="3">
        <f t="shared" si="9"/>
        <v>325.97391220642726</v>
      </c>
      <c r="N18" s="3">
        <f t="shared" si="9"/>
        <v>320.89444059495298</v>
      </c>
      <c r="O18" s="3">
        <f t="shared" si="9"/>
        <v>313.27381721132053</v>
      </c>
      <c r="P18" s="3">
        <f t="shared" si="9"/>
        <v>301.32794245246328</v>
      </c>
      <c r="Q18" s="3">
        <f t="shared" si="9"/>
        <v>281.43872194328497</v>
      </c>
      <c r="R18" s="2"/>
      <c r="S18" s="2"/>
      <c r="T18" s="1"/>
      <c r="U18" s="1"/>
      <c r="V18" s="1"/>
      <c r="W18" s="1"/>
      <c r="X18" s="1"/>
    </row>
    <row r="19" spans="1:24">
      <c r="A19" s="2"/>
      <c r="B19" s="2"/>
      <c r="C19" s="2"/>
      <c r="D19" s="2"/>
      <c r="E19" s="2"/>
      <c r="F19" s="3" t="s">
        <v>18</v>
      </c>
      <c r="G19" s="3">
        <f>G13/G18</f>
        <v>0.31694438872950531</v>
      </c>
      <c r="H19" s="3">
        <f t="shared" ref="H19:Q19" si="10">H13/H18</f>
        <v>0.35199188374156831</v>
      </c>
      <c r="I19" s="3">
        <f t="shared" si="10"/>
        <v>0.39341650990231575</v>
      </c>
      <c r="J19" s="3">
        <f t="shared" si="10"/>
        <v>0.4429013582998057</v>
      </c>
      <c r="K19" s="3">
        <f t="shared" si="10"/>
        <v>0.50280572659237555</v>
      </c>
      <c r="L19" s="3">
        <f t="shared" si="10"/>
        <v>0.57650498240473735</v>
      </c>
      <c r="M19" s="3">
        <f t="shared" si="10"/>
        <v>0.66903184931765469</v>
      </c>
      <c r="N19" s="3">
        <f t="shared" si="10"/>
        <v>0.78830807766194766</v>
      </c>
      <c r="O19" s="3">
        <f t="shared" si="10"/>
        <v>0.94775875565952661</v>
      </c>
      <c r="P19" s="3">
        <f t="shared" si="10"/>
        <v>1.1726794993879039</v>
      </c>
      <c r="Q19" s="3">
        <f t="shared" si="10"/>
        <v>1.5192366181248829</v>
      </c>
      <c r="R19" s="2"/>
      <c r="S19" s="2"/>
      <c r="T19" s="1"/>
      <c r="U19" s="1"/>
      <c r="V19" s="1"/>
      <c r="W19" s="1"/>
      <c r="X19" s="1"/>
    </row>
    <row r="20" spans="1:24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1"/>
      <c r="U20" s="1"/>
      <c r="V20" s="1"/>
      <c r="W20" s="1"/>
      <c r="X20" s="1"/>
    </row>
    <row r="21" spans="1:2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>
      <c r="A23" s="1"/>
      <c r="B23" s="7"/>
      <c r="C23" s="7">
        <v>0</v>
      </c>
      <c r="D23" s="6">
        <v>2.5000000000000001E-2</v>
      </c>
      <c r="E23" s="7">
        <v>0.05</v>
      </c>
      <c r="F23" s="6">
        <v>7.4999999999999997E-2</v>
      </c>
      <c r="G23" s="7">
        <v>0.1</v>
      </c>
      <c r="H23" s="1"/>
      <c r="I23" s="1"/>
      <c r="J23" s="1"/>
      <c r="K23" s="1"/>
      <c r="L23" s="1"/>
      <c r="M23" s="1"/>
      <c r="N23" s="1"/>
      <c r="O23" s="1"/>
      <c r="P23" s="1"/>
      <c r="Q23" s="1"/>
      <c r="R23" s="7"/>
      <c r="S23" s="7">
        <v>0</v>
      </c>
      <c r="T23" s="6">
        <v>2.5000000000000001E-2</v>
      </c>
      <c r="U23" s="7">
        <v>0.05</v>
      </c>
      <c r="V23" s="6">
        <v>7.4999999999999997E-2</v>
      </c>
      <c r="W23" s="7">
        <v>0.1</v>
      </c>
      <c r="X23" s="1"/>
    </row>
    <row r="24" spans="1:24">
      <c r="A24" s="1"/>
      <c r="B24" s="7" t="s">
        <v>20</v>
      </c>
      <c r="C24" s="8">
        <v>62.6</v>
      </c>
      <c r="D24" s="7">
        <v>78.260000000000005</v>
      </c>
      <c r="E24" s="7">
        <v>106.77</v>
      </c>
      <c r="F24" s="7">
        <v>153.75</v>
      </c>
      <c r="G24" s="7">
        <v>238.13</v>
      </c>
      <c r="H24" s="1"/>
      <c r="I24" s="1"/>
      <c r="J24" s="1"/>
      <c r="K24" s="1"/>
      <c r="L24" s="1"/>
      <c r="M24" s="1"/>
      <c r="N24" s="1"/>
      <c r="O24" s="1"/>
      <c r="P24" s="1"/>
      <c r="Q24" s="1"/>
      <c r="R24" s="7" t="s">
        <v>20</v>
      </c>
      <c r="S24" s="8">
        <v>62.6</v>
      </c>
      <c r="T24" s="7">
        <v>78.260000000000005</v>
      </c>
      <c r="U24" s="7">
        <v>106.77</v>
      </c>
      <c r="V24" s="7">
        <v>153.75</v>
      </c>
      <c r="W24" s="7">
        <v>238.13</v>
      </c>
      <c r="X24" s="1"/>
    </row>
    <row r="25" spans="1:24">
      <c r="A25" s="1"/>
      <c r="B25" s="7" t="s">
        <v>21</v>
      </c>
      <c r="C25" s="5">
        <v>132552</v>
      </c>
      <c r="D25" s="5">
        <v>131334</v>
      </c>
      <c r="E25" s="5">
        <v>128213</v>
      </c>
      <c r="F25" s="5">
        <v>120941</v>
      </c>
      <c r="G25" s="5">
        <v>101336</v>
      </c>
      <c r="H25" s="1"/>
      <c r="I25" s="1"/>
      <c r="J25" s="1"/>
      <c r="K25" s="1"/>
      <c r="L25" s="1"/>
      <c r="M25" s="1"/>
      <c r="N25" s="1"/>
      <c r="O25" s="1"/>
      <c r="P25" s="1"/>
      <c r="Q25" s="1"/>
      <c r="R25" s="7" t="s">
        <v>21</v>
      </c>
      <c r="S25" s="5">
        <v>132552</v>
      </c>
      <c r="T25" s="5">
        <v>131334</v>
      </c>
      <c r="U25" s="5">
        <v>128213</v>
      </c>
      <c r="V25" s="5">
        <v>120941</v>
      </c>
      <c r="W25" s="5">
        <v>101336</v>
      </c>
      <c r="X25" s="1"/>
    </row>
    <row r="26" spans="1:24">
      <c r="A26" s="1"/>
      <c r="B26" s="7" t="s">
        <v>22</v>
      </c>
      <c r="C26" s="6">
        <v>1.375</v>
      </c>
      <c r="D26" s="7"/>
      <c r="E26" s="7"/>
      <c r="F26" s="7"/>
      <c r="G26" s="7"/>
      <c r="H26" s="1"/>
      <c r="I26" s="1"/>
      <c r="J26" s="1"/>
      <c r="K26" s="1"/>
      <c r="L26" s="1"/>
      <c r="M26" s="1"/>
      <c r="N26" s="1"/>
      <c r="O26" s="1"/>
      <c r="P26" s="1"/>
      <c r="Q26" s="1"/>
      <c r="R26" s="7" t="s">
        <v>22</v>
      </c>
      <c r="S26" s="6">
        <v>1.375</v>
      </c>
      <c r="T26" s="7"/>
      <c r="U26" s="7"/>
      <c r="V26" s="7"/>
      <c r="W26" s="7"/>
    </row>
    <row r="27" spans="1:2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spans="1:2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spans="1:2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spans="1:2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B1:S30"/>
  <sheetViews>
    <sheetView zoomScale="69" zoomScaleNormal="69" workbookViewId="0">
      <selection activeCell="F56" sqref="F56"/>
    </sheetView>
  </sheetViews>
  <sheetFormatPr defaultRowHeight="15"/>
  <sheetData>
    <row r="1" spans="2:17">
      <c r="F1" s="9" t="s">
        <v>0</v>
      </c>
      <c r="G1" s="9">
        <v>1</v>
      </c>
      <c r="H1" s="9">
        <v>2</v>
      </c>
      <c r="I1" s="9">
        <v>3</v>
      </c>
      <c r="J1" s="9">
        <v>4</v>
      </c>
      <c r="K1" s="9">
        <v>5</v>
      </c>
      <c r="L1" s="9">
        <v>6</v>
      </c>
      <c r="M1" s="9">
        <v>7</v>
      </c>
      <c r="N1" s="9">
        <v>8</v>
      </c>
      <c r="O1" s="9">
        <v>9</v>
      </c>
      <c r="P1" s="9">
        <v>10</v>
      </c>
      <c r="Q1" s="9">
        <v>11</v>
      </c>
    </row>
    <row r="2" spans="2:17">
      <c r="F2" s="9" t="s">
        <v>1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9" t="s">
        <v>2</v>
      </c>
      <c r="C3" s="9">
        <v>0.1</v>
      </c>
      <c r="F3" s="9" t="s">
        <v>3</v>
      </c>
      <c r="G3" s="11">
        <v>0.08</v>
      </c>
      <c r="H3" s="9">
        <f>G3+($Q$3-$G$3)/10</f>
        <v>7.5999999999999998E-2</v>
      </c>
      <c r="I3" s="9">
        <f t="shared" ref="I3:P3" si="1">H3+($Q$3-$G$3)/10</f>
        <v>7.1999999999999995E-2</v>
      </c>
      <c r="J3" s="9">
        <f t="shared" si="1"/>
        <v>6.7999999999999991E-2</v>
      </c>
      <c r="K3" s="9">
        <f t="shared" si="1"/>
        <v>6.3999999999999987E-2</v>
      </c>
      <c r="L3" s="9">
        <f t="shared" si="1"/>
        <v>5.9999999999999984E-2</v>
      </c>
      <c r="M3" s="9">
        <f t="shared" si="1"/>
        <v>5.599999999999998E-2</v>
      </c>
      <c r="N3" s="9">
        <f t="shared" si="1"/>
        <v>5.1999999999999977E-2</v>
      </c>
      <c r="O3" s="9">
        <f t="shared" si="1"/>
        <v>4.7999999999999973E-2</v>
      </c>
      <c r="P3" s="9">
        <f t="shared" si="1"/>
        <v>4.399999999999997E-2</v>
      </c>
      <c r="Q3" s="11">
        <v>0.04</v>
      </c>
    </row>
    <row r="4" spans="2:17">
      <c r="B4" s="9" t="s">
        <v>4</v>
      </c>
      <c r="C4" s="9">
        <f>C3/10</f>
        <v>0.01</v>
      </c>
      <c r="F4" s="9" t="s">
        <v>5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9" t="s">
        <v>6</v>
      </c>
      <c r="G5" s="9">
        <v>44.280058829103695</v>
      </c>
      <c r="H5" s="9">
        <v>49.167521397240662</v>
      </c>
      <c r="I5" s="9">
        <v>54.90800996055215</v>
      </c>
      <c r="J5" s="9">
        <v>61.776175505769835</v>
      </c>
      <c r="K5" s="9">
        <v>70.105343915275839</v>
      </c>
      <c r="L5" s="9">
        <v>80.375272411770609</v>
      </c>
      <c r="M5" s="9">
        <v>93.311035504256878</v>
      </c>
      <c r="N5" s="9">
        <v>110.08900148034917</v>
      </c>
      <c r="O5" s="9">
        <v>132.84483372608193</v>
      </c>
      <c r="P5" s="9">
        <v>166.34447275673128</v>
      </c>
      <c r="Q5" s="9">
        <v>421.41061851010818</v>
      </c>
    </row>
    <row r="6" spans="2:17">
      <c r="B6" s="11" t="s">
        <v>7</v>
      </c>
      <c r="C6" s="11">
        <v>1.4</v>
      </c>
      <c r="F6" s="9" t="s">
        <v>8</v>
      </c>
      <c r="G6" s="9">
        <v>345885.48181827401</v>
      </c>
      <c r="H6" s="9">
        <v>344879.25937080476</v>
      </c>
      <c r="I6" s="9">
        <v>343562.97041012999</v>
      </c>
      <c r="J6" s="9">
        <v>341797.63022535248</v>
      </c>
      <c r="K6" s="9">
        <v>339380.5659845976</v>
      </c>
      <c r="L6" s="9">
        <v>335988.65948717593</v>
      </c>
      <c r="M6" s="9">
        <v>331081.85058878252</v>
      </c>
      <c r="N6" s="9">
        <v>323696.64769306255</v>
      </c>
      <c r="O6" s="9">
        <v>311934.4041231263</v>
      </c>
      <c r="P6" s="9">
        <v>291317.57904759562</v>
      </c>
      <c r="Q6" s="9">
        <v>101325</v>
      </c>
    </row>
    <row r="7" spans="2:17">
      <c r="B7" s="11" t="s">
        <v>3</v>
      </c>
      <c r="C7" s="11">
        <v>286.97199999999998</v>
      </c>
      <c r="F7" s="9" t="s">
        <v>9</v>
      </c>
      <c r="G7" s="9">
        <v>4.1969391264855913</v>
      </c>
      <c r="H7" s="9">
        <v>4.1880453558893604</v>
      </c>
      <c r="I7" s="9">
        <v>4.176389567062591</v>
      </c>
      <c r="J7" s="9">
        <v>4.1607204320259426</v>
      </c>
      <c r="K7" s="9">
        <v>4.139204255460089</v>
      </c>
      <c r="L7" s="9">
        <v>4.1088992233295718</v>
      </c>
      <c r="M7" s="9">
        <v>4.0648478096841334</v>
      </c>
      <c r="N7" s="9">
        <v>3.9981069552022133</v>
      </c>
      <c r="O7" s="9">
        <v>3.890778917374957</v>
      </c>
      <c r="P7" s="9">
        <v>3.6996975473600591</v>
      </c>
      <c r="Q7" s="9">
        <v>1.7675767798836417</v>
      </c>
    </row>
    <row r="8" spans="2:17">
      <c r="B8" s="11" t="s">
        <v>10</v>
      </c>
      <c r="C8" s="11">
        <v>1004.4</v>
      </c>
    </row>
    <row r="10" spans="2:17">
      <c r="B10" s="22" t="s">
        <v>11</v>
      </c>
      <c r="C10" s="22">
        <v>350000</v>
      </c>
      <c r="F10" s="9" t="s">
        <v>12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>
      <c r="B11" s="22" t="s">
        <v>13</v>
      </c>
      <c r="C11" s="22">
        <v>288.16000000000003</v>
      </c>
      <c r="F11" s="9" t="s">
        <v>14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13">
        <v>0</v>
      </c>
    </row>
    <row r="12" spans="2:17">
      <c r="B12" s="22" t="s">
        <v>8</v>
      </c>
      <c r="C12" s="22">
        <v>101325</v>
      </c>
    </row>
    <row r="13" spans="2:17">
      <c r="F13" s="9" t="s">
        <v>6</v>
      </c>
      <c r="G13" s="13">
        <f>(H4*H5*H7)/(G4*G7)</f>
        <v>44.279655388571626</v>
      </c>
      <c r="H13" s="14">
        <f t="shared" ref="H13:Q13" si="5">((G6-H6)/H7+G5*H5)^0.5</f>
        <v>49.167076154097323</v>
      </c>
      <c r="I13" s="14">
        <f t="shared" si="5"/>
        <v>54.907783128874669</v>
      </c>
      <c r="J13" s="14">
        <f t="shared" si="5"/>
        <v>61.776160474409025</v>
      </c>
      <c r="K13" s="14">
        <f t="shared" si="5"/>
        <v>70.105521972519099</v>
      </c>
      <c r="L13" s="14">
        <f t="shared" si="5"/>
        <v>80.375609449287566</v>
      </c>
      <c r="M13" s="14">
        <f t="shared" si="5"/>
        <v>93.311479205994601</v>
      </c>
      <c r="N13" s="14">
        <f t="shared" si="5"/>
        <v>110.08948017821383</v>
      </c>
      <c r="O13" s="14">
        <f t="shared" si="5"/>
        <v>132.8452587119364</v>
      </c>
      <c r="P13" s="14">
        <f t="shared" si="5"/>
        <v>166.34474513447597</v>
      </c>
      <c r="Q13" s="14">
        <f t="shared" si="5"/>
        <v>421.4106349888167</v>
      </c>
    </row>
    <row r="14" spans="2:17">
      <c r="B14" s="9" t="s">
        <v>15</v>
      </c>
      <c r="C14" s="9">
        <v>2000</v>
      </c>
      <c r="D14">
        <v>2000</v>
      </c>
      <c r="F14" s="9" t="s">
        <v>8</v>
      </c>
      <c r="G14" s="15">
        <f>C10-(G7*G13^2)/2</f>
        <v>345885.55615800864</v>
      </c>
      <c r="H14" s="16">
        <f>H6+H11</f>
        <v>344879.34946673375</v>
      </c>
      <c r="I14" s="16">
        <f t="shared" ref="I14:Q14" si="6">I6+I11</f>
        <v>343563.01414328581</v>
      </c>
      <c r="J14" s="16">
        <f t="shared" si="6"/>
        <v>341797.61866806471</v>
      </c>
      <c r="K14" s="16">
        <f t="shared" si="6"/>
        <v>339380.4916916677</v>
      </c>
      <c r="L14" s="16">
        <f t="shared" si="6"/>
        <v>335988.51902558975</v>
      </c>
      <c r="M14" s="16">
        <f t="shared" si="6"/>
        <v>331081.64860489842</v>
      </c>
      <c r="N14" s="16">
        <f t="shared" si="6"/>
        <v>323696.40292464499</v>
      </c>
      <c r="O14" s="16">
        <f t="shared" si="6"/>
        <v>311934.15736079559</v>
      </c>
      <c r="P14" s="16">
        <f t="shared" si="6"/>
        <v>291317.40253341687</v>
      </c>
      <c r="Q14" s="15">
        <f t="shared" si="6"/>
        <v>101325</v>
      </c>
    </row>
    <row r="15" spans="2:17">
      <c r="F15" s="9" t="s">
        <v>9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7" spans="6:19">
      <c r="F17" s="9" t="s">
        <v>16</v>
      </c>
      <c r="G17" s="14">
        <f>$C$11-(G13^2)/(2*$C$8)</f>
        <v>287.18395067635873</v>
      </c>
      <c r="H17" s="14">
        <f t="shared" ref="H17:Q17" si="8">$C$11-(H13^2)/(2*$C$8)</f>
        <v>286.95659429632479</v>
      </c>
      <c r="I17" s="14">
        <f t="shared" si="8"/>
        <v>286.65917132211894</v>
      </c>
      <c r="J17" s="14">
        <f t="shared" si="8"/>
        <v>286.26021206543214</v>
      </c>
      <c r="K17" s="14">
        <f t="shared" si="8"/>
        <v>285.71337305304695</v>
      </c>
      <c r="L17" s="14">
        <f t="shared" si="8"/>
        <v>284.94403096657487</v>
      </c>
      <c r="M17" s="14">
        <f t="shared" si="8"/>
        <v>283.8255554800823</v>
      </c>
      <c r="N17" s="14">
        <f t="shared" si="8"/>
        <v>282.12669969837253</v>
      </c>
      <c r="O17" s="14">
        <f t="shared" si="8"/>
        <v>279.37472383400973</v>
      </c>
      <c r="P17" s="14">
        <f t="shared" si="8"/>
        <v>274.38532146861127</v>
      </c>
      <c r="Q17" s="14">
        <f t="shared" si="8"/>
        <v>199.75551807961088</v>
      </c>
    </row>
    <row r="18" spans="6:19">
      <c r="F18" s="9" t="s">
        <v>17</v>
      </c>
      <c r="G18" s="17">
        <f>SQRT($C$6*$C$7*G17)</f>
        <v>339.67521806998877</v>
      </c>
      <c r="H18" s="17">
        <f t="shared" ref="H18:Q18" si="9">SQRT($C$6*$C$7*H17)</f>
        <v>339.54073524360354</v>
      </c>
      <c r="I18" s="17">
        <f t="shared" si="9"/>
        <v>339.36472709713303</v>
      </c>
      <c r="J18" s="17">
        <f t="shared" si="9"/>
        <v>339.1284886404822</v>
      </c>
      <c r="K18" s="17">
        <f t="shared" si="9"/>
        <v>338.80441751619855</v>
      </c>
      <c r="L18" s="17">
        <f t="shared" si="9"/>
        <v>338.3479597047334</v>
      </c>
      <c r="M18" s="17">
        <f t="shared" si="9"/>
        <v>337.68325725466792</v>
      </c>
      <c r="N18" s="17">
        <f t="shared" si="9"/>
        <v>336.67112821294597</v>
      </c>
      <c r="O18" s="17">
        <f t="shared" si="9"/>
        <v>335.0250924144799</v>
      </c>
      <c r="P18" s="17">
        <f t="shared" si="9"/>
        <v>332.01997870833981</v>
      </c>
      <c r="Q18" s="17">
        <f t="shared" si="9"/>
        <v>283.29125780383504</v>
      </c>
    </row>
    <row r="19" spans="6:19">
      <c r="F19" s="9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19">
      <c r="F20" s="9" t="s">
        <v>23</v>
      </c>
      <c r="G20" s="9">
        <f>1-((($C$6-1)/($C$6+1))*G21^2)</f>
        <v>0.99671303011728174</v>
      </c>
      <c r="H20" s="9">
        <f t="shared" ref="H20:Q20" si="11">1-((($C$6-1)/($C$6+1))*H21^2)</f>
        <v>0.99597511360808921</v>
      </c>
      <c r="I20" s="9">
        <f t="shared" si="11"/>
        <v>0.99502489977703212</v>
      </c>
      <c r="J20" s="9">
        <f t="shared" si="11"/>
        <v>0.99377646509452411</v>
      </c>
      <c r="K20" s="9">
        <f t="shared" si="11"/>
        <v>0.99211224037940104</v>
      </c>
      <c r="L20" s="9">
        <f t="shared" si="11"/>
        <v>0.98985832374993499</v>
      </c>
      <c r="M20" s="9">
        <f t="shared" si="11"/>
        <v>0.98675172838748226</v>
      </c>
      <c r="N20" s="9">
        <f t="shared" si="11"/>
        <v>0.98238248075144408</v>
      </c>
      <c r="O20" s="9">
        <f t="shared" si="11"/>
        <v>0.9760767829084267</v>
      </c>
      <c r="P20" s="9">
        <f t="shared" si="11"/>
        <v>0.96657707554561456</v>
      </c>
      <c r="Q20" s="9">
        <f t="shared" si="11"/>
        <v>0.9184310555788946</v>
      </c>
    </row>
    <row r="21" spans="6:19">
      <c r="F21" s="9" t="s">
        <v>24</v>
      </c>
      <c r="G21" s="9">
        <f>SQRT(((($C$6+1)/2)*G19^2)/(1+2*G19^2))</f>
        <v>0.14043439499036495</v>
      </c>
      <c r="H21" s="9">
        <f>SQRT(((($C$6+1)/2)*H19^2)/(1+2*H19^2))</f>
        <v>0.15540050949551171</v>
      </c>
      <c r="I21" s="9">
        <f t="shared" ref="I21:Q21" si="12">SQRT(((($C$6+1)/2)*I19^2)/(1+2*I19^2))</f>
        <v>0.17277326569179402</v>
      </c>
      <c r="J21" s="9">
        <f t="shared" si="12"/>
        <v>0.19323873688485746</v>
      </c>
      <c r="K21" s="9">
        <f t="shared" si="12"/>
        <v>0.21754667941293379</v>
      </c>
      <c r="L21" s="9">
        <f t="shared" si="12"/>
        <v>0.24667804422037701</v>
      </c>
      <c r="M21" s="9">
        <f t="shared" si="12"/>
        <v>0.28193905312160311</v>
      </c>
      <c r="N21" s="9">
        <f t="shared" si="12"/>
        <v>0.32512323123907294</v>
      </c>
      <c r="O21" s="9">
        <f t="shared" si="12"/>
        <v>0.37886581074232623</v>
      </c>
      <c r="P21" s="9">
        <f t="shared" si="12"/>
        <v>0.4478141877233377</v>
      </c>
      <c r="Q21" s="9">
        <f t="shared" si="12"/>
        <v>0.69958106501436468</v>
      </c>
    </row>
    <row r="22" spans="6:19">
      <c r="F22" s="9" t="s">
        <v>25</v>
      </c>
      <c r="G22" s="9">
        <f>(1-((($C$6-1)/($C$6+1))*G21^2))^($C$6/($C$6-1))</f>
        <v>0.9885427960059292</v>
      </c>
      <c r="H22" s="9">
        <f t="shared" ref="H22:Q22" si="13">(1-((($C$6-1)/($C$6+1))*H21^2))^($C$6/($C$6-1))</f>
        <v>0.98598362880403378</v>
      </c>
      <c r="I22" s="9">
        <f t="shared" si="13"/>
        <v>0.98269516836177517</v>
      </c>
      <c r="J22" s="9">
        <f t="shared" si="13"/>
        <v>0.97838655513115991</v>
      </c>
      <c r="K22" s="9">
        <f t="shared" si="13"/>
        <v>0.97266396715912518</v>
      </c>
      <c r="L22" s="9">
        <f t="shared" si="13"/>
        <v>0.96495183870945589</v>
      </c>
      <c r="M22" s="9">
        <f t="shared" si="13"/>
        <v>0.95439385677830646</v>
      </c>
      <c r="N22" s="9">
        <f t="shared" si="13"/>
        <v>0.93968464691644049</v>
      </c>
      <c r="O22" s="9">
        <f t="shared" si="13"/>
        <v>0.91874278065402615</v>
      </c>
      <c r="P22" s="9">
        <f t="shared" si="13"/>
        <v>0.88782571020734091</v>
      </c>
      <c r="Q22" s="9">
        <f t="shared" si="13"/>
        <v>0.74244273422226659</v>
      </c>
    </row>
    <row r="23" spans="6:19">
      <c r="F23" s="9" t="s">
        <v>11</v>
      </c>
      <c r="G23" s="9">
        <f>G14/G22</f>
        <v>349894.36730054737</v>
      </c>
      <c r="H23" s="9">
        <f t="shared" ref="H23:Q23" si="14">H14/H22</f>
        <v>349782.02415496617</v>
      </c>
      <c r="I23" s="9">
        <f t="shared" si="14"/>
        <v>349613.00839204341</v>
      </c>
      <c r="J23" s="9">
        <f t="shared" si="14"/>
        <v>349348.23754016554</v>
      </c>
      <c r="K23" s="9">
        <f t="shared" si="14"/>
        <v>348918.54037001246</v>
      </c>
      <c r="L23" s="9">
        <f t="shared" si="14"/>
        <v>348192.00870682509</v>
      </c>
      <c r="M23" s="9">
        <f t="shared" si="14"/>
        <v>346902.53531441628</v>
      </c>
      <c r="N23" s="9">
        <f t="shared" si="14"/>
        <v>344473.44009168324</v>
      </c>
      <c r="O23" s="9">
        <f t="shared" si="14"/>
        <v>339522.83917674847</v>
      </c>
      <c r="P23" s="9">
        <f t="shared" si="14"/>
        <v>328124.5397425844</v>
      </c>
      <c r="Q23" s="9">
        <f t="shared" si="14"/>
        <v>136475.17219781442</v>
      </c>
      <c r="S23" s="19"/>
    </row>
    <row r="30" spans="6:19">
      <c r="J30" s="18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pconst135</vt:lpstr>
      <vt:lpstr>pvar135</vt:lpstr>
      <vt:lpstr>pconst105</vt:lpstr>
      <vt:lpstr>pvar105</vt:lpstr>
      <vt:lpstr>M1,5const</vt:lpstr>
      <vt:lpstr>M1,5var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Бодров</dc:creator>
  <cp:lastModifiedBy>rudenko8007@mail.ru</cp:lastModifiedBy>
  <dcterms:created xsi:type="dcterms:W3CDTF">2021-05-20T20:13:54Z</dcterms:created>
  <dcterms:modified xsi:type="dcterms:W3CDTF">2021-05-23T13:14:06Z</dcterms:modified>
</cp:coreProperties>
</file>